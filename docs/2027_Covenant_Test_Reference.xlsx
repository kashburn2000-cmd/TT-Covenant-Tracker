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2027 Calendar" sheetId="2" state="visible" r:id="rId4"/>
    <sheet name="Ongoing Obligations" sheetId="3" state="visible" r:id="rId5"/>
    <sheet name="Covenant Tests" sheetId="4" state="visible" r:id="rId6"/>
    <sheet name="Test Calculations" sheetId="5" state="visible" r:id="rId7"/>
    <sheet name="Loan Terms" sheetId="6" state="visible" r:id="rId8"/>
    <sheet name="Forecast" sheetId="7" state="visible" r:id="rId9"/>
    <sheet name="Property Reference" sheetId="8" state="visible" r:id="rId10"/>
  </sheets>
  <definedNames>
    <definedName function="false" hidden="false" localSheetId="1" name="_xlnm.Print_Area" vbProcedure="false">'2027 Calendar'!$A$1:$H$24</definedName>
    <definedName function="false" hidden="false" localSheetId="1" name="_xlnm.Print_Titles" vbProcedure="false">'2027 Calendar'!$4:$4</definedName>
    <definedName function="false" hidden="true" localSheetId="1" name="_xlnm._FilterDatabase" vbProcedure="false">'2027 Calendar'!$A$4:$I$24</definedName>
    <definedName function="false" hidden="false" localSheetId="3" name="_xlnm.Print_Area" vbProcedure="false">'Covenant Tests'!$A$1:$I$107</definedName>
    <definedName function="false" hidden="false" localSheetId="3" name="_xlnm.Print_Titles" vbProcedure="false">'Covenant Tests'!$1:$1</definedName>
    <definedName function="false" hidden="true" localSheetId="3" name="_xlnm._FilterDatabase" vbProcedure="false">'Covenant Tests'!$A$1:$J$107</definedName>
    <definedName function="false" hidden="false" localSheetId="6" name="_xlnm.Print_Area" vbProcedure="false">Forecast!$A$1:$N$57</definedName>
    <definedName function="false" hidden="false" localSheetId="6" name="_xlnm.Print_Titles" vbProcedure="false">Forecast!$1:$1</definedName>
    <definedName function="false" hidden="true" localSheetId="6" name="_xlnm._FilterDatabase" vbProcedure="false">Forecast!$A$1:$N$29</definedName>
    <definedName function="false" hidden="false" localSheetId="5" name="_xlnm.Print_Area" vbProcedure="false">'Loan Terms'!$A$1:$I$31</definedName>
    <definedName function="false" hidden="false" localSheetId="5" name="_xlnm.Print_Titles" vbProcedure="false">'Loan Terms'!$1:$1</definedName>
    <definedName function="false" hidden="true" localSheetId="5" name="_xlnm._FilterDatabase" vbProcedure="false">'Loan Terms'!$A$1:$I$29</definedName>
    <definedName function="false" hidden="false" localSheetId="2" name="_xlnm.Print_Area" vbProcedure="false">'Ongoing Obligations'!$A$1:$G$30</definedName>
    <definedName function="false" hidden="false" localSheetId="2" name="_xlnm.Print_Titles" vbProcedure="false">'Ongoing Obligations'!$4:$4</definedName>
    <definedName function="false" hidden="true" localSheetId="2" name="_xlnm._FilterDatabase" vbProcedure="false">'Ongoing Obligations'!$A$4:$H$30</definedName>
    <definedName function="false" hidden="false" localSheetId="7" name="_xlnm.Print_Area" vbProcedure="false">'Property Reference'!$A$1:$J$32</definedName>
    <definedName function="false" hidden="false" localSheetId="7" name="_xlnm.Print_Titles" vbProcedure="false">'Property Reference'!$4:$4</definedName>
    <definedName function="false" hidden="true" localSheetId="7" name="_xlnm._FilterDatabase" vbProcedure="false">'Property Reference'!$A$4:$J$32</definedName>
    <definedName function="false" hidden="false" localSheetId="0" name="_xlnm.Print_Area" vbProcedure="false">Summary!$A$1:$E$51</definedName>
    <definedName function="false" hidden="false" localSheetId="0" name="_xlnm.Print_Titles" vbProcedure="false">Summary!$23:$23</definedName>
    <definedName function="false" hidden="false" localSheetId="4" name="_xlnm.Print_Area" vbProcedure="false">'Test Calculations'!$A$1:$R$29</definedName>
    <definedName function="false" hidden="false" localSheetId="4" name="_xlnm.Print_Titles" vbProcedure="false">'Test Calculations'!$1:$1</definedName>
    <definedName function="false" hidden="true" localSheetId="4" name="_xlnm._FilterDatabase" vbProcedure="false">'Test Calculations'!$A$1:$R$29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<sst xmlns="http://schemas.openxmlformats.org/spreadsheetml/2006/main" count="2135" uniqueCount="972">
  <si>
    <t xml:space="preserve">2027 Covenant Test Summary</t>
  </si>
  <si>
    <t xml:space="preserve">Every test was read from the loan documents.</t>
  </si>
  <si>
    <t xml:space="preserve">2027 monthly workload</t>
  </si>
  <si>
    <t xml:space="preserve">Month</t>
  </si>
  <si>
    <t xml:space="preserve">New tests</t>
  </si>
  <si>
    <t xml:space="preserve">Maturities</t>
  </si>
  <si>
    <t xml:space="preserve">Total</t>
  </si>
  <si>
    <t xml:space="preserve">New tests are counted once, on their first date, and exclude ongoing obligations.</t>
  </si>
  <si>
    <t xml:space="preserve">Property</t>
  </si>
  <si>
    <t xml:space="preserve">Lender</t>
  </si>
  <si>
    <t xml:space="preserve">Maturity</t>
  </si>
  <si>
    <t xml:space="preserve">First New Test</t>
  </si>
  <si>
    <t xml:space="preserve">New Tests</t>
  </si>
  <si>
    <t xml:space="preserve">2027 Test Calendar</t>
  </si>
  <si>
    <t xml:space="preserve">First test dates and maturities in 2027. Tests that started earlier and later recurring dates are in Covenant Tests.</t>
  </si>
  <si>
    <t xml:space="preserve">Date</t>
  </si>
  <si>
    <t xml:space="preserve">Type</t>
  </si>
  <si>
    <t xml:space="preserve">Test</t>
  </si>
  <si>
    <t xml:space="preserve">Threshold</t>
  </si>
  <si>
    <t xml:space="preserve">Occurrence</t>
  </si>
  <si>
    <t xml:space="preserve">Reference</t>
  </si>
  <si>
    <t xml:space="preserve">Covenant ID</t>
  </si>
  <si>
    <t xml:space="preserve">Cash trap: Debt Yield and DSCR</t>
  </si>
  <si>
    <t xml:space="preserve">8.00% and 1.25x</t>
  </si>
  <si>
    <t xml:space="preserve">First test, then quarterly</t>
  </si>
  <si>
    <t xml:space="preserve">CT023</t>
  </si>
  <si>
    <t xml:space="preserve">Extension: DSCR</t>
  </si>
  <si>
    <t xml:space="preserve">Once</t>
  </si>
  <si>
    <t xml:space="preserve">CT038</t>
  </si>
  <si>
    <t xml:space="preserve">DSCR covenant, step one</t>
  </si>
  <si>
    <t xml:space="preserve">CT051</t>
  </si>
  <si>
    <t xml:space="preserve">Venice</t>
  </si>
  <si>
    <t xml:space="preserve">Initial maturity</t>
  </si>
  <si>
    <t xml:space="preserve">Note, Section 1</t>
  </si>
  <si>
    <t xml:space="preserve">Standing covenant from 5/23/2027 until step two</t>
  </si>
  <si>
    <t xml:space="preserve">CT042</t>
  </si>
  <si>
    <t xml:space="preserve">Occupancy, step one</t>
  </si>
  <si>
    <t xml:space="preserve">50% occupancy</t>
  </si>
  <si>
    <t xml:space="preserve">Standing covenant from 6/27/2027</t>
  </si>
  <si>
    <t xml:space="preserve">CT047</t>
  </si>
  <si>
    <t xml:space="preserve">Cash trap: Debt Yield</t>
  </si>
  <si>
    <t xml:space="preserve">Any time from the August 2027 payment date; tested off the quarterly Debt Yield calculations</t>
  </si>
  <si>
    <t xml:space="preserve">CT009</t>
  </si>
  <si>
    <t xml:space="preserve">Debt Yield</t>
  </si>
  <si>
    <t xml:space="preserve">CT014</t>
  </si>
  <si>
    <t xml:space="preserve">Implied DSCR</t>
  </si>
  <si>
    <t xml:space="preserve">CT015</t>
  </si>
  <si>
    <t xml:space="preserve">Extension: Net Cash Flow coverage</t>
  </si>
  <si>
    <t xml:space="preserve">CT001</t>
  </si>
  <si>
    <t xml:space="preserve">Dove Valley</t>
  </si>
  <si>
    <t xml:space="preserve">Loan Agreement, Initial Maturity Date</t>
  </si>
  <si>
    <t xml:space="preserve">DSCR: extension test and covenant step two</t>
  </si>
  <si>
    <t xml:space="preserve">Extension tested once; covenant from 11/23/2027 at the latest, then each 6/30 and 12/31</t>
  </si>
  <si>
    <t xml:space="preserve">Note, Section 8; Loan Agreement 9.8</t>
  </si>
  <si>
    <t xml:space="preserve">CT044</t>
  </si>
  <si>
    <t xml:space="preserve">Pooler</t>
  </si>
  <si>
    <t xml:space="preserve">Note, Section 8</t>
  </si>
  <si>
    <t xml:space="preserve">CT048</t>
  </si>
  <si>
    <t xml:space="preserve">CT034</t>
  </si>
  <si>
    <t xml:space="preserve">St. Augustine</t>
  </si>
  <si>
    <t xml:space="preserve">Loan Agreement, Maturity Date</t>
  </si>
  <si>
    <t xml:space="preserve">Occupancy, step two</t>
  </si>
  <si>
    <t xml:space="preserve">80% occupancy</t>
  </si>
  <si>
    <t xml:space="preserve">Standing covenant from 12/27/2027</t>
  </si>
  <si>
    <t xml:space="preserve">DSCR covenant</t>
  </si>
  <si>
    <t xml:space="preserve">12/27/2027, then each 6/30 and 12/31</t>
  </si>
  <si>
    <t xml:space="preserve">CT049</t>
  </si>
  <si>
    <t xml:space="preserve">Stockbridge</t>
  </si>
  <si>
    <t xml:space="preserve">Note, Section 2</t>
  </si>
  <si>
    <t xml:space="preserve">CT077</t>
  </si>
  <si>
    <t xml:space="preserve">2027 Ongoing Obligations</t>
  </si>
  <si>
    <t xml:space="preserve">Ongoing and event-driven requirements in effect during 2027. Expand grouped columns for lender and source reference.</t>
  </si>
  <si>
    <t xml:space="preserve">Timing Type</t>
  </si>
  <si>
    <t xml:space="preserve">Timing / Frequency</t>
  </si>
  <si>
    <t xml:space="preserve">CT003</t>
  </si>
  <si>
    <t xml:space="preserve">CT004</t>
  </si>
  <si>
    <t xml:space="preserve">CT005</t>
  </si>
  <si>
    <t xml:space="preserve">CT006</t>
  </si>
  <si>
    <t xml:space="preserve">CT012</t>
  </si>
  <si>
    <t xml:space="preserve">CT017</t>
  </si>
  <si>
    <t xml:space="preserve">CT018</t>
  </si>
  <si>
    <t xml:space="preserve">CT022</t>
  </si>
  <si>
    <t xml:space="preserve">CT024</t>
  </si>
  <si>
    <t xml:space="preserve">CT025</t>
  </si>
  <si>
    <t xml:space="preserve">CT030</t>
  </si>
  <si>
    <t xml:space="preserve">CT031</t>
  </si>
  <si>
    <t xml:space="preserve">CT032</t>
  </si>
  <si>
    <t xml:space="preserve">CT033</t>
  </si>
  <si>
    <t xml:space="preserve">CT040</t>
  </si>
  <si>
    <t xml:space="preserve">CT041</t>
  </si>
  <si>
    <t xml:space="preserve">CT046</t>
  </si>
  <si>
    <t xml:space="preserve">CT050</t>
  </si>
  <si>
    <t xml:space="preserve">CT052</t>
  </si>
  <si>
    <t xml:space="preserve">CT053</t>
  </si>
  <si>
    <t xml:space="preserve">CT056</t>
  </si>
  <si>
    <t xml:space="preserve">CT070</t>
  </si>
  <si>
    <t xml:space="preserve">CT071</t>
  </si>
  <si>
    <t xml:space="preserve">CT091</t>
  </si>
  <si>
    <t xml:space="preserve">CT101</t>
  </si>
  <si>
    <t xml:space="preserve">CT103</t>
  </si>
  <si>
    <t xml:space="preserve">First Test Date</t>
  </si>
  <si>
    <t xml:space="preserve">In 2027</t>
  </si>
  <si>
    <t xml:space="preserve">Nationwide</t>
  </si>
  <si>
    <t xml:space="preserve">105% of interest at the 8.50% Base Rate</t>
  </si>
  <si>
    <t xml:space="preserve">One-time</t>
  </si>
  <si>
    <t xml:space="preserve">Yes</t>
  </si>
  <si>
    <t xml:space="preserve">Loan Agreement 3.7(g)</t>
  </si>
  <si>
    <t xml:space="preserve">Extension: LTV</t>
  </si>
  <si>
    <t xml:space="preserve">65% of fair market value</t>
  </si>
  <si>
    <t xml:space="preserve">Loan Agreement 3.7(f)</t>
  </si>
  <si>
    <t xml:space="preserve">CT002</t>
  </si>
  <si>
    <t xml:space="preserve">Cash sweep and distribution block</t>
  </si>
  <si>
    <t xml:space="preserve">Until final completion, DSCR 1.00x on trailing 3 months and capitalized interest repaid</t>
  </si>
  <si>
    <t xml:space="preserve">Ongoing</t>
  </si>
  <si>
    <t xml:space="preserve">Ongoing; monthly</t>
  </si>
  <si>
    <t xml:space="preserve">Loan Agreement 3.5, 7.14</t>
  </si>
  <si>
    <t xml:space="preserve">Interest reserve top-up</t>
  </si>
  <si>
    <t xml:space="preserve">Reserve short of projected current pay interest, or loan to cost at 70%</t>
  </si>
  <si>
    <t xml:space="preserve">Event-driven</t>
  </si>
  <si>
    <t xml:space="preserve">On lender notice</t>
  </si>
  <si>
    <t xml:space="preserve">Loan Agreement 3.4(d)</t>
  </si>
  <si>
    <t xml:space="preserve">Spectrum Loop</t>
  </si>
  <si>
    <t xml:space="preserve">105% of interest at the 8.25% Base Rate</t>
  </si>
  <si>
    <t xml:space="preserve">No</t>
  </si>
  <si>
    <t xml:space="preserve">CT007</t>
  </si>
  <si>
    <t xml:space="preserve">66% of fair market value</t>
  </si>
  <si>
    <t xml:space="preserve">CT008</t>
  </si>
  <si>
    <t xml:space="preserve">Fort Collins Shields</t>
  </si>
  <si>
    <t xml:space="preserve">Starwood</t>
  </si>
  <si>
    <t xml:space="preserve">6.50% (6.75% for two straight quarters to release)</t>
  </si>
  <si>
    <t xml:space="preserve">Recurring</t>
  </si>
  <si>
    <t xml:space="preserve">Quarterly from the August 2027 payment date</t>
  </si>
  <si>
    <t xml:space="preserve">Loan Agreement 1.1, Cash Management Event</t>
  </si>
  <si>
    <t xml:space="preserve">First extension: Debt Yield</t>
  </si>
  <si>
    <t xml:space="preserve">7.00%</t>
  </si>
  <si>
    <t xml:space="preserve">Loan Agreement 2.2.8(c)</t>
  </si>
  <si>
    <t xml:space="preserve">CT010</t>
  </si>
  <si>
    <t xml:space="preserve">Second extension: Debt Yield</t>
  </si>
  <si>
    <t xml:space="preserve">7.25%</t>
  </si>
  <si>
    <t xml:space="preserve">Loan Agreement 2.2.8(d)</t>
  </si>
  <si>
    <t xml:space="preserve">CT011</t>
  </si>
  <si>
    <t xml:space="preserve">Fort Collins Vine</t>
  </si>
  <si>
    <t xml:space="preserve">Western-Southern</t>
  </si>
  <si>
    <t xml:space="preserve">Stabilization: NOI</t>
  </si>
  <si>
    <t xml:space="preserve">$6,775,000 annualized for three straight months</t>
  </si>
  <si>
    <t xml:space="preserve">Ongoing; until met, by June 2028</t>
  </si>
  <si>
    <t xml:space="preserve">Stabilization Guaranty; Note 5.6</t>
  </si>
  <si>
    <t xml:space="preserve">Paydown test: Debt Yield</t>
  </si>
  <si>
    <t xml:space="preserve">9.75% as of 6/30/2028, unless Stabilization is met</t>
  </si>
  <si>
    <t xml:space="preserve">Note 5.6</t>
  </si>
  <si>
    <t xml:space="preserve">CT013</t>
  </si>
  <si>
    <t xml:space="preserve">Ellenton</t>
  </si>
  <si>
    <t xml:space="preserve">Kayne Anderson</t>
  </si>
  <si>
    <t xml:space="preserve">6.00% (7.00% to release)</t>
  </si>
  <si>
    <t xml:space="preserve">Quarterly</t>
  </si>
  <si>
    <t xml:space="preserve">Loan Agreement 2.5(a)</t>
  </si>
  <si>
    <t xml:space="preserve">1.00x (1.05x to release)</t>
  </si>
  <si>
    <t xml:space="preserve">Loan Agreement 2.5(b)</t>
  </si>
  <si>
    <t xml:space="preserve">Extension: Debt Yield</t>
  </si>
  <si>
    <t xml:space="preserve">7.00% first extension, 7.25% second</t>
  </si>
  <si>
    <t xml:space="preserve">Each extension</t>
  </si>
  <si>
    <t xml:space="preserve">Loan Agreement 2.3.3</t>
  </si>
  <si>
    <t xml:space="preserve">CT016</t>
  </si>
  <si>
    <t xml:space="preserve">Interest reserve replenishment</t>
  </si>
  <si>
    <t xml:space="preserve">Lesser of the deficiency or the amount to reach 1.0x Implied DSCR</t>
  </si>
  <si>
    <t xml:space="preserve">Loan Agreement 6.1(b)</t>
  </si>
  <si>
    <t xml:space="preserve">Panama City Beach</t>
  </si>
  <si>
    <t xml:space="preserve">Merchants Bank of Indiana</t>
  </si>
  <si>
    <t xml:space="preserve">Rent collection escrow release</t>
  </si>
  <si>
    <t xml:space="preserve">DSCR 1.20x and $509,914 monthly rent collections, 3 straight months</t>
  </si>
  <si>
    <t xml:space="preserve">Ongoing; until released</t>
  </si>
  <si>
    <t xml:space="preserve">Loan Agreement 6.2</t>
  </si>
  <si>
    <t xml:space="preserve">Ponte Vedra</t>
  </si>
  <si>
    <t xml:space="preserve">Trustmark</t>
  </si>
  <si>
    <t xml:space="preserve">1.00x</t>
  </si>
  <si>
    <t xml:space="preserve">From 8/31/2028</t>
  </si>
  <si>
    <t xml:space="preserve">Loan Agreement 6.28</t>
  </si>
  <si>
    <t xml:space="preserve">CT019</t>
  </si>
  <si>
    <t xml:space="preserve">1.25x</t>
  </si>
  <si>
    <t xml:space="preserve">Loan Agreement 2.2(c), 6.28</t>
  </si>
  <si>
    <t xml:space="preserve">CT020</t>
  </si>
  <si>
    <t xml:space="preserve">61% of as-is value</t>
  </si>
  <si>
    <t xml:space="preserve">Loan Agreement 2.2(c)</t>
  </si>
  <si>
    <t xml:space="preserve">CT021</t>
  </si>
  <si>
    <t xml:space="preserve">Port St Lucie</t>
  </si>
  <si>
    <t xml:space="preserve">Blackstone / FGL</t>
  </si>
  <si>
    <t xml:space="preserve">Cash trap since closing</t>
  </si>
  <si>
    <t xml:space="preserve">Released at NOI of $3,000,000 annualized for three straight months</t>
  </si>
  <si>
    <t xml:space="preserve">Ongoing; until cured</t>
  </si>
  <si>
    <t xml:space="preserve">Loan Agreement 1.1, Cash Trap Event</t>
  </si>
  <si>
    <t xml:space="preserve">8.00% and 1.25x (8.50% and 1.35x after 9/1/2028)</t>
  </si>
  <si>
    <t xml:space="preserve">Cash Collateral Reserve release</t>
  </si>
  <si>
    <t xml:space="preserve">Debt Yield 8.25% for two straight quarters</t>
  </si>
  <si>
    <t xml:space="preserve">Loan Agreement 7.5</t>
  </si>
  <si>
    <t xml:space="preserve">Additional Cash Collateral release</t>
  </si>
  <si>
    <t xml:space="preserve">NOI of $3,000,000</t>
  </si>
  <si>
    <t xml:space="preserve">8.50%</t>
  </si>
  <si>
    <t xml:space="preserve">Loan Agreement 2.9</t>
  </si>
  <si>
    <t xml:space="preserve">CT026</t>
  </si>
  <si>
    <t xml:space="preserve">9.00%</t>
  </si>
  <si>
    <t xml:space="preserve">CT027</t>
  </si>
  <si>
    <t xml:space="preserve">Sarasota</t>
  </si>
  <si>
    <t xml:space="preserve">Stifel</t>
  </si>
  <si>
    <t xml:space="preserve">1.20x</t>
  </si>
  <si>
    <t xml:space="preserve">After maturity; each 12/31 and 6/30 from 7/1/2026</t>
  </si>
  <si>
    <t xml:space="preserve">Loan Agreement 11.1</t>
  </si>
  <si>
    <t xml:space="preserve">CT028</t>
  </si>
  <si>
    <t xml:space="preserve">Simmons</t>
  </si>
  <si>
    <t xml:space="preserve">1.35x</t>
  </si>
  <si>
    <t xml:space="preserve">Quarterly; trailing 3, 6, 9, then 12 months</t>
  </si>
  <si>
    <t xml:space="preserve">Loan Agreement, Events of Default</t>
  </si>
  <si>
    <t xml:space="preserve">CT029</t>
  </si>
  <si>
    <t xml:space="preserve">Cash trap before stabilization</t>
  </si>
  <si>
    <t xml:space="preserve">Released at DSCR 1.20x</t>
  </si>
  <si>
    <t xml:space="preserve">Ongoing; until Initial Stabilization</t>
  </si>
  <si>
    <t xml:space="preserve">Loan Agreement 10.21</t>
  </si>
  <si>
    <t xml:space="preserve">Cash trap after stabilization</t>
  </si>
  <si>
    <t xml:space="preserve">DSCR under 1.15x for 3 straight months</t>
  </si>
  <si>
    <t xml:space="preserve">After stabilization; monthly</t>
  </si>
  <si>
    <t xml:space="preserve">Check</t>
  </si>
  <si>
    <t xml:space="preserve">Loan to cost</t>
  </si>
  <si>
    <t xml:space="preserve">57.50% of project cost</t>
  </si>
  <si>
    <t xml:space="preserve">At all times</t>
  </si>
  <si>
    <t xml:space="preserve">Loan Agreement, Loan to Cost</t>
  </si>
  <si>
    <t xml:space="preserve">Distribution block</t>
  </si>
  <si>
    <t xml:space="preserve">No distributions until the loan is repaid, except tax distributions</t>
  </si>
  <si>
    <t xml:space="preserve">Loan Agreement, Distributions</t>
  </si>
  <si>
    <t xml:space="preserve">Note, Extension</t>
  </si>
  <si>
    <t xml:space="preserve">55% of as-is value</t>
  </si>
  <si>
    <t xml:space="preserve">CT035</t>
  </si>
  <si>
    <t xml:space="preserve">UMB</t>
  </si>
  <si>
    <t xml:space="preserve">1.10x</t>
  </si>
  <si>
    <t xml:space="preserve">11/13/2026, then each 6/30 and 12/31</t>
  </si>
  <si>
    <t xml:space="preserve">Loan Agreement 5.18</t>
  </si>
  <si>
    <t xml:space="preserve">CT036</t>
  </si>
  <si>
    <t xml:space="preserve">Occupancy</t>
  </si>
  <si>
    <t xml:space="preserve">87.5% leased</t>
  </si>
  <si>
    <t xml:space="preserve">Semi-annual</t>
  </si>
  <si>
    <t xml:space="preserve">Loan Agreement 5.24</t>
  </si>
  <si>
    <t xml:space="preserve">CT037</t>
  </si>
  <si>
    <t xml:space="preserve">70% of as-is value, if bank requires an appraisal</t>
  </si>
  <si>
    <t xml:space="preserve">CT039</t>
  </si>
  <si>
    <t xml:space="preserve">LTV Threshold</t>
  </si>
  <si>
    <t xml:space="preserve">80% of as-stabilized value</t>
  </si>
  <si>
    <t xml:space="preserve">On appraisal; at extension or Event of Default</t>
  </si>
  <si>
    <t xml:space="preserve">Loan Agreement 5.19</t>
  </si>
  <si>
    <t xml:space="preserve">Reserve Account minimum</t>
  </si>
  <si>
    <t xml:space="preserve">$1,810,000</t>
  </si>
  <si>
    <t xml:space="preserve">From closing; at all times</t>
  </si>
  <si>
    <t xml:space="preserve">Loan Agreement 5.23</t>
  </si>
  <si>
    <t xml:space="preserve">Fifth Third</t>
  </si>
  <si>
    <t xml:space="preserve">1.00x, at rents no lower than the Proforma Rents</t>
  </si>
  <si>
    <t xml:space="preserve">From 5/23/2027</t>
  </si>
  <si>
    <t xml:space="preserve">Loan Agreement 9.8</t>
  </si>
  <si>
    <t xml:space="preserve">DSCR covenant, step two</t>
  </si>
  <si>
    <t xml:space="preserve">11/23/2027 at the latest, then each 6/30 and 12/31</t>
  </si>
  <si>
    <t xml:space="preserve">CT043</t>
  </si>
  <si>
    <t xml:space="preserve">60% of as-is value</t>
  </si>
  <si>
    <t xml:space="preserve">Note, Section 8; Loan Agreement 2.11</t>
  </si>
  <si>
    <t xml:space="preserve">CT045</t>
  </si>
  <si>
    <t xml:space="preserve">Distribution test: DSCR</t>
  </si>
  <si>
    <t xml:space="preserve">1.20x on trailing 6 months, annualized</t>
  </si>
  <si>
    <t xml:space="preserve">Before distributions; each distribution</t>
  </si>
  <si>
    <t xml:space="preserve">Loan Agreement 9.9</t>
  </si>
  <si>
    <t xml:space="preserve">50% by 6/27/2027, then 80% from 12/27/2027</t>
  </si>
  <si>
    <t xml:space="preserve">At all times from 6/27/2027</t>
  </si>
  <si>
    <t xml:space="preserve">Loan Agreement 7.25</t>
  </si>
  <si>
    <t xml:space="preserve">1.15x</t>
  </si>
  <si>
    <t xml:space="preserve">Loan Agreement 7.20</t>
  </si>
  <si>
    <t xml:space="preserve">On appraisal; at extension, after 12/27/2027 or Event of Default</t>
  </si>
  <si>
    <t xml:space="preserve">Loan Agreement 7.21</t>
  </si>
  <si>
    <t xml:space="preserve">Nampa Sundance</t>
  </si>
  <si>
    <t xml:space="preserve">Wintrust</t>
  </si>
  <si>
    <t xml:space="preserve">Loan Agreement 9.3</t>
  </si>
  <si>
    <t xml:space="preserve">IRM Reserve</t>
  </si>
  <si>
    <t xml:space="preserve">$500,000 minimum; released with a swap or at DSCR 1.20x</t>
  </si>
  <si>
    <t xml:space="preserve">Loan Agreement 1.14(b)</t>
  </si>
  <si>
    <t xml:space="preserve">Reappraisal: LTV</t>
  </si>
  <si>
    <t xml:space="preserve">60%</t>
  </si>
  <si>
    <t xml:space="preserve">On appraisal; on agent request from 10/3/2027</t>
  </si>
  <si>
    <t xml:space="preserve">Loan Agreement 4.12</t>
  </si>
  <si>
    <t xml:space="preserve">1.20x on trailing 12 months</t>
  </si>
  <si>
    <t xml:space="preserve">Loan Agreement 1.5</t>
  </si>
  <si>
    <t xml:space="preserve">CT054</t>
  </si>
  <si>
    <t xml:space="preserve">4/30/2028, 10/31/2028, then each 10/31</t>
  </si>
  <si>
    <t xml:space="preserve">CT055</t>
  </si>
  <si>
    <t xml:space="preserve">2022 Fund (Barings)</t>
  </si>
  <si>
    <t xml:space="preserve">Barings (2022 Fund)</t>
  </si>
  <si>
    <t xml:space="preserve">Cash trap: Portfolio DSCR</t>
  </si>
  <si>
    <t xml:space="preserve">1.05x (two straight quarters to release)</t>
  </si>
  <si>
    <t xml:space="preserve">Ongoing; any time after 5/31/2026</t>
  </si>
  <si>
    <t xml:space="preserve">Loan Agreement 5.5</t>
  </si>
  <si>
    <t xml:space="preserve">Interest holdback earnout: Earnout DSCR</t>
  </si>
  <si>
    <t xml:space="preserve">1.15x for the last two quarters</t>
  </si>
  <si>
    <t xml:space="preserve">6/1/2027 until 6/10/2028</t>
  </si>
  <si>
    <t xml:space="preserve">Loan Agreement 2.2(b)(ii)</t>
  </si>
  <si>
    <t xml:space="preserve">CT057</t>
  </si>
  <si>
    <t xml:space="preserve">First extension: Portfolio Debt Yield</t>
  </si>
  <si>
    <t xml:space="preserve">7.50%</t>
  </si>
  <si>
    <t xml:space="preserve">Loan Agreement 2.5(b)(i)</t>
  </si>
  <si>
    <t xml:space="preserve">CT058</t>
  </si>
  <si>
    <t xml:space="preserve">First extension: Portfolio LTV</t>
  </si>
  <si>
    <t xml:space="preserve">67.5% of appraised value</t>
  </si>
  <si>
    <t xml:space="preserve">CT059</t>
  </si>
  <si>
    <t xml:space="preserve">Second extension: Portfolio Debt Yield</t>
  </si>
  <si>
    <t xml:space="preserve">7.75%</t>
  </si>
  <si>
    <t xml:space="preserve">Loan Agreement 2.5(b)(ii)</t>
  </si>
  <si>
    <t xml:space="preserve">CT060</t>
  </si>
  <si>
    <t xml:space="preserve">Second extension: Portfolio LTV</t>
  </si>
  <si>
    <t xml:space="preserve">65% of appraised value</t>
  </si>
  <si>
    <t xml:space="preserve">CT061</t>
  </si>
  <si>
    <t xml:space="preserve">2023 Fund (Barings)</t>
  </si>
  <si>
    <t xml:space="preserve">Barings (2023 Fund)</t>
  </si>
  <si>
    <t xml:space="preserve">Any time after 4/10/2028</t>
  </si>
  <si>
    <t xml:space="preserve">CT062</t>
  </si>
  <si>
    <t xml:space="preserve">CT063</t>
  </si>
  <si>
    <t xml:space="preserve">70% of appraised value</t>
  </si>
  <si>
    <t xml:space="preserve">CT064</t>
  </si>
  <si>
    <t xml:space="preserve">8.00%</t>
  </si>
  <si>
    <t xml:space="preserve">CT065</t>
  </si>
  <si>
    <t xml:space="preserve">68% of appraised value</t>
  </si>
  <si>
    <t xml:space="preserve">CT066</t>
  </si>
  <si>
    <t xml:space="preserve">Fayetteville Van Asche</t>
  </si>
  <si>
    <t xml:space="preserve">Associated / Trustmark</t>
  </si>
  <si>
    <t xml:space="preserve">Pro Forma DSCR 1.20x</t>
  </si>
  <si>
    <t xml:space="preserve">Loan Agreement 4.3</t>
  </si>
  <si>
    <t xml:space="preserve">CT067</t>
  </si>
  <si>
    <t xml:space="preserve">60% of as-is value, if agent requests</t>
  </si>
  <si>
    <t xml:space="preserve">CT068</t>
  </si>
  <si>
    <t xml:space="preserve">Annual, if extended</t>
  </si>
  <si>
    <t xml:space="preserve">Loan Agreement 8.42</t>
  </si>
  <si>
    <t xml:space="preserve">CT069</t>
  </si>
  <si>
    <t xml:space="preserve">Gilbert Val Vista</t>
  </si>
  <si>
    <t xml:space="preserve">105% of interest at the 7.80% Base Rate</t>
  </si>
  <si>
    <t xml:space="preserve">CT072</t>
  </si>
  <si>
    <t xml:space="preserve">CT073</t>
  </si>
  <si>
    <t xml:space="preserve">Venetucci</t>
  </si>
  <si>
    <t xml:space="preserve">PNC</t>
  </si>
  <si>
    <t xml:space="preserve">Mini perm conversion: DSCR</t>
  </si>
  <si>
    <t xml:space="preserve">Loan Agreement 2.4</t>
  </si>
  <si>
    <t xml:space="preserve">CT074</t>
  </si>
  <si>
    <t xml:space="preserve">Mini perm conversion: LTV</t>
  </si>
  <si>
    <t xml:space="preserve">CT075</t>
  </si>
  <si>
    <t xml:space="preserve">After conversion; semi-annual during mini perm</t>
  </si>
  <si>
    <t xml:space="preserve">Loan Agreement 4.38</t>
  </si>
  <si>
    <t xml:space="preserve">CT076</t>
  </si>
  <si>
    <t xml:space="preserve">Longmont Hover</t>
  </si>
  <si>
    <t xml:space="preserve">Loan Agreement Article 11, Debt Service Coverage Ratio</t>
  </si>
  <si>
    <t xml:space="preserve">Loan Agreement 2.21</t>
  </si>
  <si>
    <t xml:space="preserve">CT078</t>
  </si>
  <si>
    <t xml:space="preserve">Monument Higby</t>
  </si>
  <si>
    <t xml:space="preserve">5/12/2029, then each 6/30 and 12/31</t>
  </si>
  <si>
    <t xml:space="preserve">CT079</t>
  </si>
  <si>
    <t xml:space="preserve">CT080</t>
  </si>
  <si>
    <t xml:space="preserve">60% of as-stabilized value</t>
  </si>
  <si>
    <t xml:space="preserve">CT081</t>
  </si>
  <si>
    <t xml:space="preserve">Wheat Ridge</t>
  </si>
  <si>
    <t xml:space="preserve">BOKF / RCB Bank</t>
  </si>
  <si>
    <t xml:space="preserve">Once, on 3 months ending Apr to Jun 2028</t>
  </si>
  <si>
    <t xml:space="preserve">Loan Agreement 2.6.2</t>
  </si>
  <si>
    <t xml:space="preserve">CT082</t>
  </si>
  <si>
    <t xml:space="preserve">60% of appraised value</t>
  </si>
  <si>
    <t xml:space="preserve">CT083</t>
  </si>
  <si>
    <t xml:space="preserve">1.25x (1.35x to release cash collateral)</t>
  </si>
  <si>
    <t xml:space="preserve">Quarterly, if extended</t>
  </si>
  <si>
    <t xml:space="preserve">Loan Agreement 6.1</t>
  </si>
  <si>
    <t xml:space="preserve">CT084</t>
  </si>
  <si>
    <t xml:space="preserve">Buford</t>
  </si>
  <si>
    <t xml:space="preserve">BOKF</t>
  </si>
  <si>
    <t xml:space="preserve">Once, on 3 months ending Nov 2028 to Jan 2029</t>
  </si>
  <si>
    <t xml:space="preserve">CT085</t>
  </si>
  <si>
    <t xml:space="preserve">CT086</t>
  </si>
  <si>
    <t xml:space="preserve">CT087</t>
  </si>
  <si>
    <t xml:space="preserve">Dacula</t>
  </si>
  <si>
    <t xml:space="preserve">CT088</t>
  </si>
  <si>
    <t xml:space="preserve">CT089</t>
  </si>
  <si>
    <t xml:space="preserve">CT090</t>
  </si>
  <si>
    <t xml:space="preserve">Newnan</t>
  </si>
  <si>
    <t xml:space="preserve">Comerica</t>
  </si>
  <si>
    <t xml:space="preserve">Interest reserve shortfall</t>
  </si>
  <si>
    <t xml:space="preserve">IO DSCR under 1.00x and reserve under 90 days of interest</t>
  </si>
  <si>
    <t xml:space="preserve">Ongoing; any time</t>
  </si>
  <si>
    <t xml:space="preserve">First extension: DSCR</t>
  </si>
  <si>
    <t xml:space="preserve">June 2029 (day not stated); once</t>
  </si>
  <si>
    <t xml:space="preserve">Loan Agreement 2.5</t>
  </si>
  <si>
    <t xml:space="preserve">CT092</t>
  </si>
  <si>
    <t xml:space="preserve">Second extension: DSCR</t>
  </si>
  <si>
    <t xml:space="preserve">June 2030 (day not stated); once</t>
  </si>
  <si>
    <t xml:space="preserve">Loan Agreement 2.6</t>
  </si>
  <si>
    <t xml:space="preserve">CT093</t>
  </si>
  <si>
    <t xml:space="preserve">65% of as-stabilized value</t>
  </si>
  <si>
    <t xml:space="preserve">On appraisal; from 90 days before maturity</t>
  </si>
  <si>
    <t xml:space="preserve">Loan Agreement 6.20</t>
  </si>
  <si>
    <t xml:space="preserve">CT094</t>
  </si>
  <si>
    <t xml:space="preserve">Fishers Union</t>
  </si>
  <si>
    <t xml:space="preserve">First Internet Bank</t>
  </si>
  <si>
    <t xml:space="preserve">1.15x, whole mixed-use project</t>
  </si>
  <si>
    <t xml:space="preserve">Loan Agreement 6.4</t>
  </si>
  <si>
    <t xml:space="preserve">CT095</t>
  </si>
  <si>
    <t xml:space="preserve">1.20x, whole mixed-use project</t>
  </si>
  <si>
    <t xml:space="preserve">Loan Agreement 7.3(a)</t>
  </si>
  <si>
    <t xml:space="preserve">CT096</t>
  </si>
  <si>
    <t xml:space="preserve">Westfield 191st</t>
  </si>
  <si>
    <t xml:space="preserve">From 12/31/2028</t>
  </si>
  <si>
    <t xml:space="preserve">CT097</t>
  </si>
  <si>
    <t xml:space="preserve">Each 6/30 and 12/31</t>
  </si>
  <si>
    <t xml:space="preserve">CT098</t>
  </si>
  <si>
    <t xml:space="preserve">CT099</t>
  </si>
  <si>
    <t xml:space="preserve">Loan Agreement 6.13</t>
  </si>
  <si>
    <t xml:space="preserve">CT100</t>
  </si>
  <si>
    <t xml:space="preserve">Overland Park</t>
  </si>
  <si>
    <t xml:space="preserve">Released at DSCR 1.25x</t>
  </si>
  <si>
    <t xml:space="preserve">Ongoing; until stabilization</t>
  </si>
  <si>
    <t xml:space="preserve">DSCR under 1.15x or Debt Yield under 9.00% for 3 months</t>
  </si>
  <si>
    <t xml:space="preserve">Loan Agreement 10.21.4</t>
  </si>
  <si>
    <t xml:space="preserve">CT102</t>
  </si>
  <si>
    <t xml:space="preserve">65% of project cost</t>
  </si>
  <si>
    <t xml:space="preserve">CT104</t>
  </si>
  <si>
    <t xml:space="preserve">10%</t>
  </si>
  <si>
    <t xml:space="preserve">CT105</t>
  </si>
  <si>
    <t xml:space="preserve">65% of as-is value</t>
  </si>
  <si>
    <t xml:space="preserve">CT106</t>
  </si>
  <si>
    <t xml:space="preserve">Calc Type</t>
  </si>
  <si>
    <t xml:space="preserve">Debt Service</t>
  </si>
  <si>
    <t xml:space="preserve">Balance Used</t>
  </si>
  <si>
    <t xml:space="preserve">Amortization (Years)</t>
  </si>
  <si>
    <t xml:space="preserve">Loan Index</t>
  </si>
  <si>
    <t xml:space="preserve">Loan Margin</t>
  </si>
  <si>
    <t xml:space="preserve">Loan Rate Floor</t>
  </si>
  <si>
    <t xml:space="preserve">Treasury Spread</t>
  </si>
  <si>
    <t xml:space="preserve">Sizing Rate</t>
  </si>
  <si>
    <t xml:space="preserve">Mortgage Constant</t>
  </si>
  <si>
    <t xml:space="preserve">Treasury Rate Source</t>
  </si>
  <si>
    <t xml:space="preserve">NOI Period</t>
  </si>
  <si>
    <t xml:space="preserve">Revenue</t>
  </si>
  <si>
    <t xml:space="preserve">Expenses</t>
  </si>
  <si>
    <t xml:space="preserve">Debt Yield / LTV</t>
  </si>
  <si>
    <t xml:space="preserve">Fixed rate, interest only</t>
  </si>
  <si>
    <t xml:space="preserve">Interest on the loan, including capitalized interest, at the 8.50% Base Rate. Used for the extension and distribution tests.</t>
  </si>
  <si>
    <t xml:space="preserve">Outstanding balance, including capitalized interest</t>
  </si>
  <si>
    <t xml:space="preserve">Fixed: 8.50% Base Rate</t>
  </si>
  <si>
    <t xml:space="preserve">Extension: trailing 12 months. Distributions: trailing 3 months, annualized.</t>
  </si>
  <si>
    <t xml:space="preserve">Gross revenues from the project.</t>
  </si>
  <si>
    <t xml:space="preserve">Greater of pro forma or actual, with a $200 per unit reserve and the greatest of actual, the appraisal or a 3% management fee.</t>
  </si>
  <si>
    <t xml:space="preserve">LTV: outstanding balance over fair market value, as the lender determines (65%).</t>
  </si>
  <si>
    <t xml:space="preserve">Loan Agreement definitions: Net Cash Flow, Operating Expenses, Calendar Period, Debt Service Requirement</t>
  </si>
  <si>
    <t xml:space="preserve">Interest on the loan, including capitalized interest, at the 8.25% Base Rate. Used for the extension and distribution tests.</t>
  </si>
  <si>
    <t xml:space="preserve">Fixed: 8.25% Base Rate</t>
  </si>
  <si>
    <t xml:space="preserve">LTV: outstanding balance over fair market value, as the lender determines (66%).</t>
  </si>
  <si>
    <t xml:space="preserve">No DSCR test</t>
  </si>
  <si>
    <t xml:space="preserve">Not used in the cash trap or extension tests. The rate cap strike resets to hold a 1.10x DSCR.</t>
  </si>
  <si>
    <t xml:space="preserve">1M Term SOFR</t>
  </si>
  <si>
    <t xml:space="preserve">Residential revenue: trailing 3 months, annualized. Expenses: trailing 12 months.</t>
  </si>
  <si>
    <t xml:space="preserve">Residential income with vacancy at the greater of actual or 5%.</t>
  </si>
  <si>
    <t xml:space="preserve">Actual, with the greater of actual or a 3.50% management fee and a $250 per unit reserve.</t>
  </si>
  <si>
    <t xml:space="preserve">Debt Yield: underwritten net cash flow over outstanding principal.</t>
  </si>
  <si>
    <t xml:space="preserve">Loan Agreement definitions: Debt Yield, UNCF</t>
  </si>
  <si>
    <t xml:space="preserve">Not used.</t>
  </si>
  <si>
    <t xml:space="preserve">SOFR</t>
  </si>
  <si>
    <t xml:space="preserve">3.25% index floor; 6.75% all-in floor</t>
  </si>
  <si>
    <t xml:space="preserve">Monthly NOI, annualized; three straight months for Stabilization</t>
  </si>
  <si>
    <t xml:space="preserve">Residential rent only, capped at 95% occupancy.</t>
  </si>
  <si>
    <t xml:space="preserve">Actual, with the greater of actual or a 4% management fee and a $200 per unit reserve.</t>
  </si>
  <si>
    <t xml:space="preserve">Debt Yield: NOI over outstanding principal. A miss is cured by paying down to 9.75%.</t>
  </si>
  <si>
    <t xml:space="preserve">Note 5.6; Stabilization Guaranty</t>
  </si>
  <si>
    <t xml:space="preserve">Actual debt service</t>
  </si>
  <si>
    <t xml:space="preserve">Interest only: principal balance times the actual average rate (SOFR + 2.60%) for the trailing 3 months, net of the rate cap.</t>
  </si>
  <si>
    <t xml:space="preserve">Outstanding principal</t>
  </si>
  <si>
    <t xml:space="preserve">2.75% index floor</t>
  </si>
  <si>
    <t xml:space="preserve">Trailing 3 months, annualized</t>
  </si>
  <si>
    <t xml:space="preserve">Operating revenue on an accrual basis, capped at 95% physical occupancy. Excludes free rent, concessions and non-recurring revenue.</t>
  </si>
  <si>
    <t xml:space="preserve">Actual, with the greater of actual or a 3% management fee and a $250 per unit annual reserve.</t>
  </si>
  <si>
    <t xml:space="preserve">Debt Yield: NOI over principal balance.</t>
  </si>
  <si>
    <t xml:space="preserve">Loan Agreement definitions: Adjusted NOI, Implied Debt Service, Debt Yield</t>
  </si>
  <si>
    <t xml:space="preserve">Note rate, amortized</t>
  </si>
  <si>
    <t xml:space="preserve">Outstanding principal amortized over 30 years at the note rate.</t>
  </si>
  <si>
    <t xml:space="preserve">2.75% all-in floor</t>
  </si>
  <si>
    <t xml:space="preserve">Not stated ("specified period")</t>
  </si>
  <si>
    <t xml:space="preserve">Net income plus interest, depreciation and amortization, from borrower financial statements. Rent test: gross collections from third-party residential leases, excluding extraordinary income.</t>
  </si>
  <si>
    <t xml:space="preserve">As reported, less the replacement reserve amount.</t>
  </si>
  <si>
    <t xml:space="preserve">Loan Agreement definitions: Debt Service Coverage Ratio, Debt Service, Monthly Rent Collection Amount</t>
  </si>
  <si>
    <t xml:space="preserve">Three-prong rate</t>
  </si>
  <si>
    <t xml:space="preserve">Loan amortized over 30 years at the greatest of the actual rate, 7.00%, or 10-year Treasury + 2.50%.</t>
  </si>
  <si>
    <t xml:space="preserve">The Loan ($50,000,000 construction loan)</t>
  </si>
  <si>
    <t xml:space="preserve">1.00% index floor, off while hedged</t>
  </si>
  <si>
    <t xml:space="preserve">10-year US Treasury constant; date not stated</t>
  </si>
  <si>
    <t xml:space="preserve">All operating income of the project.</t>
  </si>
  <si>
    <t xml:space="preserve">Operating expenses, management fees and replacement reserves, adjusted so taxes and insurance are not distorted by annualizing.</t>
  </si>
  <si>
    <t xml:space="preserve">LTV: as-is value (61%).</t>
  </si>
  <si>
    <t xml:space="preserve">Loan Agreement definitions: Debt Service Coverage Ratio, Net Operating Income; 6.28</t>
  </si>
  <si>
    <t xml:space="preserve">Scheduled principal and interest for the same period.</t>
  </si>
  <si>
    <t xml:space="preserve">Scheduled payments</t>
  </si>
  <si>
    <t xml:space="preserve">3.00% index floor</t>
  </si>
  <si>
    <t xml:space="preserve">DSCR: trailing 12 months. Debt Yield: NOI as of the test date, using the latest 3 months of expenses.</t>
  </si>
  <si>
    <t xml:space="preserve">GAAP income, excluding tenants over 60 days in default, vacating or in free rent, and non-recurring income.</t>
  </si>
  <si>
    <t xml:space="preserve">GAAP expenses, adjusted for known changes in the next 12 months (taxes, insurance), with the greater of actual or a 3% management fee.</t>
  </si>
  <si>
    <t xml:space="preserve">Debt Yield: NOI over outstanding principal.</t>
  </si>
  <si>
    <t xml:space="preserve">Loan Agreement definitions: Net Operating Income, Gross Income from Operations, Operating Expenses, Debt Yield</t>
  </si>
  <si>
    <t xml:space="preserve">Full $59,900,000 over 30 years at the greater of the loan rate, 6.50%, or 10-year Treasury + 2.25%.</t>
  </si>
  <si>
    <t xml:space="preserve">Full $59,900,000</t>
  </si>
  <si>
    <t xml:space="preserve">Term SOFR</t>
  </si>
  <si>
    <t xml:space="preserve">1.25% index floor</t>
  </si>
  <si>
    <t xml:space="preserve">Fed weekly 10-year constant maturity, 15th day before the test</t>
  </si>
  <si>
    <t xml:space="preserve">Trailing 1 month, annualized. Expenses on trailing 12 months.</t>
  </si>
  <si>
    <t xml:space="preserve">Gross Operating Income on a cash basis.</t>
  </si>
  <si>
    <t xml:space="preserve">Greater of $9,800 per unit or actual, with the higher of actual or a 3% management fee and a $250 per unit reserve.</t>
  </si>
  <si>
    <t xml:space="preserve">Loan Agreement definitions: Net Operating Income, Gross Operating Income, Debt Service; 11.1</t>
  </si>
  <si>
    <t xml:space="preserve">Annual principal and interest on the loan.</t>
  </si>
  <si>
    <t xml:space="preserve">7.00% all-in floor</t>
  </si>
  <si>
    <t xml:space="preserve">Trailing 3 months at the first test, then 6, 9 and 12 months</t>
  </si>
  <si>
    <t xml:space="preserve">All project revenue.</t>
  </si>
  <si>
    <t xml:space="preserve">Normal operating expenses, with the management fee capped at 3.5% of gross income. $150 per unit minimum reserve after stabilization.</t>
  </si>
  <si>
    <t xml:space="preserve">LTV: as-is value (55%). Loan to cost: balance over project cost (57.50%).</t>
  </si>
  <si>
    <t xml:space="preserve">Loan Agreement definitions: Net Operating Income, Debt Service Coverage Ratio</t>
  </si>
  <si>
    <t xml:space="preserve">Full $52,250,000 over 30 years at the greatest of the note rate, 10-year Treasury + 2.00%, or 6.75%.</t>
  </si>
  <si>
    <t xml:space="preserve">Full $52,250,000</t>
  </si>
  <si>
    <t xml:space="preserve">0.00% index floor</t>
  </si>
  <si>
    <t xml:space="preserve">10-year Treasury Bond yield; date not stated</t>
  </si>
  <si>
    <t xml:space="preserve">3 months ending on the test date; annualizing is not stated</t>
  </si>
  <si>
    <t xml:space="preserve">Actual operating revenue, excluding non-recurring revenue.</t>
  </si>
  <si>
    <t xml:space="preserve">Greater of (a) actual, with a $200 per unit reserve and the greater of actual or a 3% management fee, or (b) the closing appraisal's annual estimate.</t>
  </si>
  <si>
    <t xml:space="preserve">LTV: balance plus unfunded over as-stabilized value (80%); as-is value for the extension (70%).</t>
  </si>
  <si>
    <t xml:space="preserve">Loan Agreement definitions: Net Operating Income, Operating Expenses, Debt Service; 5.19; Note Section 1</t>
  </si>
  <si>
    <t xml:space="preserve">Greater of actual or three-prong rate</t>
  </si>
  <si>
    <t xml:space="preserve">Greater of actual principal and interest, or the full $54,250,000 over 30 years at the greatest of the note rate, 7.00%, or 10-year Treasury + 2.50%.</t>
  </si>
  <si>
    <t xml:space="preserve">Full $54,250,000</t>
  </si>
  <si>
    <t xml:space="preserve">10-year Treasury Notes in The Wall Street Journal, 15th day before the test</t>
  </si>
  <si>
    <t xml:space="preserve">Trailing 3 months, annualized (6 months for distributions)</t>
  </si>
  <si>
    <t xml:space="preserve">Gross revenues on a cash basis, excluding security deposits and prepaid rent. The 1.00x test needs rents at or above the Proforma Rents ($2.44, $1.96 and $2.02 per square foot).</t>
  </si>
  <si>
    <t xml:space="preserve">Greater of the appraiser's expenses or actual, with a $200 per unit reserve and the greater of actual or a 3% management fee.</t>
  </si>
  <si>
    <t xml:space="preserve">LTV: as-is value (60% to extend; under Loan Agreement 2.11 the lender can reappraise at extension and resize to 55%).</t>
  </si>
  <si>
    <t xml:space="preserve">Loan Agreement definitions: Net Operating Income, Operating Expenses, Debt Service; 9.8</t>
  </si>
  <si>
    <t xml:space="preserve">Loan Amount over 30 years at the greatest of the actual rate, 10-year Treasury + 2.00%, or 7.50%.</t>
  </si>
  <si>
    <t xml:space="preserve">Loan Amount ($37,275,630 as defined in the loan agreement; the note says $37,375,630)</t>
  </si>
  <si>
    <t xml:space="preserve">3.00% index floor, off with a swap</t>
  </si>
  <si>
    <t xml:space="preserve">Revenue: trailing 3 months, annualized. Expenses: trailing 6 months, annualized.</t>
  </si>
  <si>
    <t xml:space="preserve">All amounts received from the property, excluding non-recurring revenue.</t>
  </si>
  <si>
    <t xml:space="preserve">Greater of (a) actual, with a $200 per unit reserve and the greater of actual or a 3% management fee, or (b) the closing appraisal's annual estimate. Taxes fully assessed.</t>
  </si>
  <si>
    <t xml:space="preserve">LTV: balance plus unfunded over as-is value (60%).</t>
  </si>
  <si>
    <t xml:space="preserve">Loan Agreement definitions: Net Operating Income, Operating Expenses, Annual Debt Service; 7.21</t>
  </si>
  <si>
    <t xml:space="preserve">Note rate plus margin</t>
  </si>
  <si>
    <t xml:space="preserve">Interest on the outstanding balance at the note rate + 1.00% (8.00% if a swap is in place). After the first test, add principal on the full $45,600,000 over 30 years.</t>
  </si>
  <si>
    <t xml:space="preserve">Interest on the outstanding balance; principal on the full $45,600,000</t>
  </si>
  <si>
    <t xml:space="preserve">Tests on 4/30/2027 and 4/30/2028: annualized in-place leases. Later tests and the extension: trailing 12 months.</t>
  </si>
  <si>
    <t xml:space="preserve">All project revenue. In-place leases count only tenants in occupancy and paying rent.</t>
  </si>
  <si>
    <t xml:space="preserve">Greater of trailing 12 months actual or the stabilized expenses in the closing appraisal.</t>
  </si>
  <si>
    <t xml:space="preserve">LTV: 60% on reappraisal.</t>
  </si>
  <si>
    <t xml:space="preserve">Loan Agreement definition: Debt Service Coverage Ratio; 9.3</t>
  </si>
  <si>
    <t xml:space="preserve">Actual principal and interest for the trailing 3 months, annualized, net of rate cap proceeds. Earnout test: 12 months of interest at the current rate on the Maximum Loan Amount.</t>
  </si>
  <si>
    <t xml:space="preserve">Scheduled payments; Maximum Loan Amount for the earnout test</t>
  </si>
  <si>
    <t xml:space="preserve">SOFR Index</t>
  </si>
  <si>
    <t xml:space="preserve">5.25% all-in floor</t>
  </si>
  <si>
    <t xml:space="preserve">Revenue: trailing 1 month, annualized. Expenses: trailing 3 months, annualized. All properties combined.</t>
  </si>
  <si>
    <t xml:space="preserve">Gross rents and other income, capped at 95% occupancy portfolio-wide. Excludes tenants more than 60 days delinquent and rate cap proceeds.</t>
  </si>
  <si>
    <t xml:space="preserve">Actual, with the greater of actual or a 3% management fee, fully assessed taxes and a $250 per unit annual reserve.</t>
  </si>
  <si>
    <t xml:space="preserve">Debt Yield: NOI over outstanding principal. LTV: Maximum Loan Amount over appraised value.</t>
  </si>
  <si>
    <t xml:space="preserve">Loan Agreement definitions: Net Operating Income, Operating Revenues, Operating Expenses, Debt Service, Earnout Debt Service</t>
  </si>
  <si>
    <t xml:space="preserve">Actual principal and interest on all eight loans for the trailing 3 months, annualized, net of rate cap proceeds.</t>
  </si>
  <si>
    <t xml:space="preserve">Scheduled payments on all eight loans</t>
  </si>
  <si>
    <t xml:space="preserve">5.00% all-in floor</t>
  </si>
  <si>
    <t xml:space="preserve">Trailing 3 months, annualized; all eight properties combined</t>
  </si>
  <si>
    <t xml:space="preserve">Debt Yield: NOI over aggregate outstanding principal. LTV: Portfolio Maximum Loan Amount over appraised value.</t>
  </si>
  <si>
    <t xml:space="preserve">Loan Agreement definitions: Portfolio Net Operating Income, Operating Revenues, Operating Expenses, Portfolio Debt Service</t>
  </si>
  <si>
    <t xml:space="preserve">Full commitment ($51,000,000) over 30 years at the greatest of the loan rate, 6.75%, or 10-year Treasury + 2.50%.</t>
  </si>
  <si>
    <t xml:space="preserve">Full $51,000,000 commitment</t>
  </si>
  <si>
    <t xml:space="preserve">Extension: last 2 months of income annualized, last 6 months of expenses. Covenant: trailing 12 months at year end.</t>
  </si>
  <si>
    <t xml:space="preserve">All actual income, including parking, ancillary, utility billings and miscellaneous.</t>
  </si>
  <si>
    <t xml:space="preserve">Actual, adjusted to stabilized: 3% minimum management fee, taxes at full assessment, $150 per unit reserve.</t>
  </si>
  <si>
    <t xml:space="preserve">LTV: principal balance over as-is value (60%).</t>
  </si>
  <si>
    <t xml:space="preserve">Loan Agreement definitions: Pro Forma Net Operating Income, Net Operating Income, Pro Forma Debt Service</t>
  </si>
  <si>
    <t xml:space="preserve">Interest on the loan, including capitalized interest, at the 7.80% Base Rate. Used for the extension and distribution tests.</t>
  </si>
  <si>
    <t xml:space="preserve">Fixed: 7.80% Base Rate</t>
  </si>
  <si>
    <t xml:space="preserve">Highest of actual, Treasury rate or constant</t>
  </si>
  <si>
    <t xml:space="preserve">Highest of actual interest and scheduled principal, a 30-year amortization at 10-year Treasury + 2.00%, or an 8.19% constant, on the commitment amount.</t>
  </si>
  <si>
    <t xml:space="preserve">Commitment amount (shown as $66,695,242 in the loan agreement; Loan Terms shows $63,240,018)</t>
  </si>
  <si>
    <t xml:space="preserve">Daily Simple SOFR</t>
  </si>
  <si>
    <t xml:space="preserve">0.00% floor</t>
  </si>
  <si>
    <t xml:space="preserve">Most recent 10-year Treasury Note yield, as published by the lender</t>
  </si>
  <si>
    <t xml:space="preserve">Prior quarter, annualized</t>
  </si>
  <si>
    <t xml:space="preserve">Rental income from tenants in occupancy and paying, with a 5% minimum vacancy if occupancy is over 95%, plus other income.</t>
  </si>
  <si>
    <t xml:space="preserve">Greatest of the appraisal pro forma, prior quarter annualized, or prior 12 months actual. Includes the greater of actual or a 3% management fee and a $200 per unit reserve.</t>
  </si>
  <si>
    <t xml:space="preserve">LTV: loan amount over as-is value (60%).</t>
  </si>
  <si>
    <t xml:space="preserve">Loan Agreement definitions: Revenues, Expenses, Debt Service</t>
  </si>
  <si>
    <t xml:space="preserve">Full $63,744,900 over 30 years at the greater of the loan rate, 6.50%, or 10-year Treasury + 2.25%.</t>
  </si>
  <si>
    <t xml:space="preserve">Full $63,744,900</t>
  </si>
  <si>
    <t xml:space="preserve">Covenant: trailing 1 month, annualized. Extension: trailing 3 months, annualized.</t>
  </si>
  <si>
    <t xml:space="preserve">Greater of $8,200 per unit or actual, with the higher of actual or a 3% management fee and a $250 per unit reserve.</t>
  </si>
  <si>
    <t xml:space="preserve">Loan Agreement definitions: Net Operating Income, Gross Operating Income, Debt Service</t>
  </si>
  <si>
    <t xml:space="preserve">Outstanding loan amount over 30 years at the greatest of the note rate, 10-year Treasury + 2.00%, or 7.00%.</t>
  </si>
  <si>
    <t xml:space="preserve">Outstanding loan amount</t>
  </si>
  <si>
    <t xml:space="preserve">2.50% index floor, off with a swap</t>
  </si>
  <si>
    <t xml:space="preserve">Revenue: trailing 3 months, annualized. Expenses: trailing 12 months.</t>
  </si>
  <si>
    <t xml:space="preserve">All project revenues, excluding non-recurring revenue.</t>
  </si>
  <si>
    <t xml:space="preserve">LTV: balance plus unfunded over as-stabilized value (60%).</t>
  </si>
  <si>
    <t xml:space="preserve">Loan Agreement definitions: Net Operating Income, Operating Expenses, Imputed Debt Service; 7.21</t>
  </si>
  <si>
    <t xml:space="preserve">Outstanding principal over 30 years at the greatest of the note rate, 6.75%, or 10-year Treasury + 2.50%, for the same 3 months.</t>
  </si>
  <si>
    <t xml:space="preserve">10-year U.S. Treasury rate then in effect</t>
  </si>
  <si>
    <t xml:space="preserve">3 months</t>
  </si>
  <si>
    <t xml:space="preserve">Gross rental income from leases with tenants in occupancy. No other income.</t>
  </si>
  <si>
    <t xml:space="preserve">Actual, excluding income taxes, depreciation and debt service. No management fee or reserve adjustment.</t>
  </si>
  <si>
    <t xml:space="preserve">LTV: loan over new appraised value (60%).</t>
  </si>
  <si>
    <t xml:space="preserve">Loan Agreement definitions: Operating Income, Operating Expenses, Debt Service; 2.6.2</t>
  </si>
  <si>
    <t xml:space="preserve">Highest of actual interest and scheduled principal, a 30-year amortization at 10-year Treasury + 2.00%, or a 7.78% constant, on the $55,082,113 commitment.</t>
  </si>
  <si>
    <t xml:space="preserve">Full $55,082,113 commitment</t>
  </si>
  <si>
    <t xml:space="preserve">Current rent roll annualized, plus the prior month's other income annualized</t>
  </si>
  <si>
    <t xml:space="preserve">Actual principal and interest for the period. The interest-only ratio uses interest accrued over the 3 months. The 1.15x test that ends the distribution block uses the outstanding balance over 30 years at the greater of the loan rate or 10-year Treasury + 2.00%.</t>
  </si>
  <si>
    <t xml:space="preserve">0.50% index floor</t>
  </si>
  <si>
    <t xml:space="preserve">Most recent 3 months, cash basis</t>
  </si>
  <si>
    <t xml:space="preserve">Actual rental income and other revenues.</t>
  </si>
  <si>
    <t xml:space="preserve">Actual paid plus accrued, plus reserves for taxes, vacancy, insurance and replacements, and a management fee, all as the bank determines.</t>
  </si>
  <si>
    <t xml:space="preserve">LTV: commitment over as-completed, as-stabilized value (65%).</t>
  </si>
  <si>
    <t xml:space="preserve">Loan Agreement definitions: Net Operating Income, Debt Service Coverage Ratio, Interest Only Debt Service Coverage Ratio</t>
  </si>
  <si>
    <t xml:space="preserve">Bank's scheduled debt service for the period. The extension test uses principal and interest on a 30-year amortization.</t>
  </si>
  <si>
    <t xml:space="preserve">Project loan note not on hand</t>
  </si>
  <si>
    <t xml:space="preserve">Period being tested; whole mixed-use project</t>
  </si>
  <si>
    <t xml:space="preserve">NOI is not defined in the loan agreement. The extension test uses leases in place.</t>
  </si>
  <si>
    <t xml:space="preserve">The extension test uses appraisal expenses.</t>
  </si>
  <si>
    <t xml:space="preserve">Loan Agreement definitions: Debt Service Coverage Ratio; 6.4(e)</t>
  </si>
  <si>
    <t xml:space="preserve">Greater of actual principal and interest, or the full $56,476,922 over 30 years at the greatest of the note rate, 6.50%, or 10-year Treasury + 2.50%.</t>
  </si>
  <si>
    <t xml:space="preserve">Full $56,476,922</t>
  </si>
  <si>
    <t xml:space="preserve">Trailing 3 months, annualized (6 months after the guaranty steps down)</t>
  </si>
  <si>
    <t xml:space="preserve">Gross revenues actually received, excluding security deposits and prepaid rent. Rents are no less than the Proforma Rents ($2.10, $1.85 and $1.85 per square foot).</t>
  </si>
  <si>
    <t xml:space="preserve">6.00% all-in floor</t>
  </si>
  <si>
    <t xml:space="preserve">Operating revenue from the property, excluding security deposits and interest income.</t>
  </si>
  <si>
    <t xml:space="preserve">Normal operating expenses, with the management fee capped at 3% and a $150 per unit minimum reserve.</t>
  </si>
  <si>
    <t xml:space="preserve">Debt Yield: NOI over the full $53,870,265 loan amount. LTV: loan over as-is value (65%).</t>
  </si>
  <si>
    <t xml:space="preserve">Loan Agreement definitions: Net Operating Income, Debt Service Coverage Ratio, Debt Yield</t>
  </si>
  <si>
    <t xml:space="preserve">Loan Amount</t>
  </si>
  <si>
    <t xml:space="preserve">Initial Maturity</t>
  </si>
  <si>
    <t xml:space="preserve">Extended Maturity</t>
  </si>
  <si>
    <t xml:space="preserve">Guarantor</t>
  </si>
  <si>
    <t xml:space="preserve">Payment Guaranty</t>
  </si>
  <si>
    <t xml:space="preserve">Non-standard Guarantor Terms</t>
  </si>
  <si>
    <t xml:space="preserve">Guarantor Reporting</t>
  </si>
  <si>
    <t xml:space="preserve">TTHC</t>
  </si>
  <si>
    <t xml:space="preserve">Completion and carve-outs only</t>
  </si>
  <si>
    <t xml:space="preserve">Quarterly certificate, due in 45 days</t>
  </si>
  <si>
    <t xml:space="preserve">Aug 2030</t>
  </si>
  <si>
    <t xml:space="preserve">Carve-outs only</t>
  </si>
  <si>
    <t xml:space="preserve">Quarterly; certified in 60 days</t>
  </si>
  <si>
    <t xml:space="preserve">None</t>
  </si>
  <si>
    <t xml:space="preserve">Full, until Stabilization (NOI $6,775,000)</t>
  </si>
  <si>
    <t xml:space="preserve">Note 5.6 paydown liability capped at $10,250,000</t>
  </si>
  <si>
    <t xml:space="preserve">May 2031</t>
  </si>
  <si>
    <t xml:space="preserve">Carve-outs only, plus reserve replenishment</t>
  </si>
  <si>
    <t xml:space="preserve">Annual</t>
  </si>
  <si>
    <t xml:space="preserve">John Thompson and Paul Thrift, each</t>
  </si>
  <si>
    <t xml:space="preserve">50%, then 35%, then 25%</t>
  </si>
  <si>
    <t xml:space="preserve">Each 12/31</t>
  </si>
  <si>
    <t xml:space="preserve">55%, then 25% at 1.30x</t>
  </si>
  <si>
    <t xml:space="preserve">While the loan is in effect</t>
  </si>
  <si>
    <t xml:space="preserve">40%, then 25% at completion</t>
  </si>
  <si>
    <t xml:space="preserve">Liquidity excludes the borrower's liquid assets; a miss is an Event of Default</t>
  </si>
  <si>
    <t xml:space="preserve">50% of loan</t>
  </si>
  <si>
    <t xml:space="preserve">Steps down to $13,562,500; starting amount not reviewed</t>
  </si>
  <si>
    <t xml:space="preserve">Each fiscal year end</t>
  </si>
  <si>
    <t xml:space="preserve">40%, then 25% at completion and 1.20x</t>
  </si>
  <si>
    <t xml:space="preserve">At all times; certified annually</t>
  </si>
  <si>
    <t xml:space="preserve">40%, then 25% at 1.20x on 4/30/2027</t>
  </si>
  <si>
    <t xml:space="preserve">No net worth or liquidity covenant</t>
  </si>
  <si>
    <t xml:space="preserve">Annual financial statements only</t>
  </si>
  <si>
    <t xml:space="preserve">Net worth and liquidity step down after Portfolio DSCR of 1.15x for two straight quarters</t>
  </si>
  <si>
    <t xml:space="preserve">At all times; certified each June and December</t>
  </si>
  <si>
    <t xml:space="preserve">$15.3MM cap</t>
  </si>
  <si>
    <t xml:space="preserve">40%, then 25% at mini perm</t>
  </si>
  <si>
    <t xml:space="preserve">Contingent liabilities no more than 25x unrestricted cash</t>
  </si>
  <si>
    <t xml:space="preserve">50%, then 25% at completion and 1.25x</t>
  </si>
  <si>
    <t xml:space="preserve">Each year end</t>
  </si>
  <si>
    <t xml:space="preserve">40%, then 30%, then 25%</t>
  </si>
  <si>
    <t xml:space="preserve">25% of loan</t>
  </si>
  <si>
    <t xml:space="preserve">June 2029</t>
  </si>
  <si>
    <t xml:space="preserve">June 2031</t>
  </si>
  <si>
    <t xml:space="preserve">Liquidity semi-annual, net worth annual</t>
  </si>
  <si>
    <t xml:space="preserve">40%, then 25% at 1.20x</t>
  </si>
  <si>
    <t xml:space="preserve">$16,943,077, then $8,471,538</t>
  </si>
  <si>
    <t xml:space="preserve">30% of loan</t>
  </si>
  <si>
    <t xml:space="preserve">Net worth and liquidity minimums are hard dollar amounts in line with TT's typical terms and are not tracked here; only non-standard guarantor terms are noted.</t>
  </si>
  <si>
    <t xml:space="preserve">#</t>
  </si>
  <si>
    <t xml:space="preserve">Full Name</t>
  </si>
  <si>
    <t xml:space="preserve">State</t>
  </si>
  <si>
    <t xml:space="preserve">City</t>
  </si>
  <si>
    <t xml:space="preserve">Street</t>
  </si>
  <si>
    <t xml:space="preserve">Budget Code</t>
  </si>
  <si>
    <t xml:space="preserve">Entity</t>
  </si>
  <si>
    <t xml:space="preserve">Units</t>
  </si>
  <si>
    <t xml:space="preserve">In Aug 2026 Forecast</t>
  </si>
  <si>
    <t xml:space="preserve">Jan-27 Occ %</t>
  </si>
  <si>
    <t xml:space="preserve">Dec-27 Occ %</t>
  </si>
  <si>
    <t xml:space="preserve">2027 Total Income</t>
  </si>
  <si>
    <t xml:space="preserve">2027 NOI</t>
  </si>
  <si>
    <t xml:space="preserve">AZ, Phoenix, Dove Valley Rd</t>
  </si>
  <si>
    <t xml:space="preserve">AZ</t>
  </si>
  <si>
    <t xml:space="preserve">Phoenix</t>
  </si>
  <si>
    <t xml:space="preserve">Dove Valley Rd</t>
  </si>
  <si>
    <t xml:space="preserve">wdove</t>
  </si>
  <si>
    <t xml:space="preserve">TTRES AZ Phoenix 29th Ave Dove Valley Dev LLC</t>
  </si>
  <si>
    <t xml:space="preserve">CO, Colorado Springs, Spectrum Loop</t>
  </si>
  <si>
    <t xml:space="preserve">CO</t>
  </si>
  <si>
    <t xml:space="preserve">Colorado Springs</t>
  </si>
  <si>
    <t xml:space="preserve">wloop</t>
  </si>
  <si>
    <t xml:space="preserve">TTRES CO Colorado Springs Spectrum Loop LLC</t>
  </si>
  <si>
    <t xml:space="preserve">CO, Fort Collins, Shields St</t>
  </si>
  <si>
    <t xml:space="preserve">Fort Collins</t>
  </si>
  <si>
    <t xml:space="preserve">Shields St</t>
  </si>
  <si>
    <t xml:space="preserve">wfcco</t>
  </si>
  <si>
    <t xml:space="preserve">TTRES Fort Collins Shields CO LLC</t>
  </si>
  <si>
    <t xml:space="preserve">CO, Fort Collins, Vine Dr.</t>
  </si>
  <si>
    <t xml:space="preserve">Vine Dr.</t>
  </si>
  <si>
    <t xml:space="preserve">wvine</t>
  </si>
  <si>
    <t xml:space="preserve">TTRES CO Fort Collins Vine, LLC</t>
  </si>
  <si>
    <t xml:space="preserve">FL, Ellenton, 60th Ave</t>
  </si>
  <si>
    <t xml:space="preserve">FL</t>
  </si>
  <si>
    <t xml:space="preserve">60th Ave</t>
  </si>
  <si>
    <t xml:space="preserve">welfl</t>
  </si>
  <si>
    <t xml:space="preserve">Watermark at Ellenton 60th FL LLC</t>
  </si>
  <si>
    <t xml:space="preserve">FL, Panama City, Panama City Beach Pkwy</t>
  </si>
  <si>
    <t xml:space="preserve">Panama City</t>
  </si>
  <si>
    <t xml:space="preserve">Panama City Beach Pkwy</t>
  </si>
  <si>
    <t xml:space="preserve">wpcbf</t>
  </si>
  <si>
    <t xml:space="preserve">Watermark at PCB FL LLC</t>
  </si>
  <si>
    <t xml:space="preserve">FL, Ponte Vedra Beach, Burbank Ave</t>
  </si>
  <si>
    <t xml:space="preserve">Ponte Vedra Beach</t>
  </si>
  <si>
    <t xml:space="preserve">Burbank Ave</t>
  </si>
  <si>
    <t xml:space="preserve">wpvbf</t>
  </si>
  <si>
    <t xml:space="preserve">TTRES FL Ponte Vedra Beach LLC</t>
  </si>
  <si>
    <t xml:space="preserve">FL, Port St Lucie, 11918 Community Blvd</t>
  </si>
  <si>
    <t xml:space="preserve">11918 Community Blvd</t>
  </si>
  <si>
    <t xml:space="preserve">wpslf</t>
  </si>
  <si>
    <t xml:space="preserve">Watermark at Port St Lucie FL LLC</t>
  </si>
  <si>
    <t xml:space="preserve">FL, Sarasota, Fruitville Rd.</t>
  </si>
  <si>
    <t xml:space="preserve">Fruitville Rd.</t>
  </si>
  <si>
    <t xml:space="preserve">wsfld</t>
  </si>
  <si>
    <t xml:space="preserve">TTRES FL Sarasota Apex Rd Development LLC</t>
  </si>
  <si>
    <t xml:space="preserve">FL, St. Augustine, Outlet Center Dr.</t>
  </si>
  <si>
    <t xml:space="preserve">Outlet Center Dr.</t>
  </si>
  <si>
    <t xml:space="preserve">wsaug</t>
  </si>
  <si>
    <t xml:space="preserve">TTRes FL St. Augustine Outlet Centre LLC</t>
  </si>
  <si>
    <t xml:space="preserve">FL, Venice, Pinebrook Rd</t>
  </si>
  <si>
    <t xml:space="preserve">Pinebrook Rd</t>
  </si>
  <si>
    <t xml:space="preserve">wvenf</t>
  </si>
  <si>
    <t xml:space="preserve">Watermark at Venice Pinebrook FL LLC</t>
  </si>
  <si>
    <t xml:space="preserve">GA, Pooler, Pooler Pkwy</t>
  </si>
  <si>
    <t xml:space="preserve">GA</t>
  </si>
  <si>
    <t xml:space="preserve">Pooler Pkwy</t>
  </si>
  <si>
    <t xml:space="preserve">wpool</t>
  </si>
  <si>
    <t xml:space="preserve">TTRES GA Pooler LLC</t>
  </si>
  <si>
    <t xml:space="preserve">GA, Stockbridge, Jodeco Rd.</t>
  </si>
  <si>
    <t xml:space="preserve">Jodeco Rd.</t>
  </si>
  <si>
    <t xml:space="preserve">wsjga</t>
  </si>
  <si>
    <t xml:space="preserve">TTRES GA Stockbridge Jodeco LLC</t>
  </si>
  <si>
    <t xml:space="preserve">ID, Nampa, Sundance Rd.</t>
  </si>
  <si>
    <t xml:space="preserve">ID</t>
  </si>
  <si>
    <t xml:space="preserve">Nampa</t>
  </si>
  <si>
    <t xml:space="preserve">Sundance Rd.</t>
  </si>
  <si>
    <t xml:space="preserve">wnpad</t>
  </si>
  <si>
    <t xml:space="preserve">TTRES ID Nampa Sundance LLC</t>
  </si>
  <si>
    <t xml:space="preserve">2022 Fund (Barings, 9 properties)</t>
  </si>
  <si>
    <t xml:space="preserve">2023 Fund (Barings, 8 properties)</t>
  </si>
  <si>
    <t xml:space="preserve">AR, Fayetteville, Van Asche</t>
  </si>
  <si>
    <t xml:space="preserve">AR</t>
  </si>
  <si>
    <t xml:space="preserve">Fayetteville</t>
  </si>
  <si>
    <t xml:space="preserve">Van Asche</t>
  </si>
  <si>
    <t xml:space="preserve">wfvar</t>
  </si>
  <si>
    <t xml:space="preserve">TTRES AR Fayetteville Van Asche LLC</t>
  </si>
  <si>
    <t xml:space="preserve">AZ, Gilbert, Germann Val Vista</t>
  </si>
  <si>
    <t xml:space="preserve">Gilbert</t>
  </si>
  <si>
    <t xml:space="preserve">Germann Val Vista</t>
  </si>
  <si>
    <t xml:space="preserve">wvalv</t>
  </si>
  <si>
    <t xml:space="preserve">TTRES AZ Gilbert Germann Val Vista Dev LLC</t>
  </si>
  <si>
    <t xml:space="preserve">CO, Colorado Springs, Venetucci Blvd</t>
  </si>
  <si>
    <t xml:space="preserve">Venetucci Blvd</t>
  </si>
  <si>
    <t xml:space="preserve">wcvco</t>
  </si>
  <si>
    <t xml:space="preserve">TTRES CO Colorado Springs Venetucci Blvd LLC</t>
  </si>
  <si>
    <t xml:space="preserve">CO, Longmont, Hover</t>
  </si>
  <si>
    <t xml:space="preserve">Longmont</t>
  </si>
  <si>
    <t xml:space="preserve">Hover</t>
  </si>
  <si>
    <t xml:space="preserve">whovr</t>
  </si>
  <si>
    <t xml:space="preserve">TTRES CO Longmont Hover, LLC</t>
  </si>
  <si>
    <t xml:space="preserve">CO, Monument, Higby</t>
  </si>
  <si>
    <t xml:space="preserve">Monument</t>
  </si>
  <si>
    <t xml:space="preserve">Higby</t>
  </si>
  <si>
    <t xml:space="preserve">wmhco</t>
  </si>
  <si>
    <t xml:space="preserve">TTRES CO Monument Higby LLC</t>
  </si>
  <si>
    <t xml:space="preserve">CO, Wheat Ridge, Kipling St</t>
  </si>
  <si>
    <t xml:space="preserve">Kipling St</t>
  </si>
  <si>
    <t xml:space="preserve">wwrco</t>
  </si>
  <si>
    <t xml:space="preserve">TTRES CO Wheat Ridge Kipling St LLC</t>
  </si>
  <si>
    <t xml:space="preserve">GA, Buford, Laurel Crossing</t>
  </si>
  <si>
    <t xml:space="preserve">Laurel Crossing</t>
  </si>
  <si>
    <t xml:space="preserve">wbuga</t>
  </si>
  <si>
    <t xml:space="preserve">TTRES GA Buford Laurel Crossing LLC</t>
  </si>
  <si>
    <t xml:space="preserve">GA, Dacula, Harbins Rd</t>
  </si>
  <si>
    <t xml:space="preserve">Harbins Rd</t>
  </si>
  <si>
    <t xml:space="preserve">wdacg</t>
  </si>
  <si>
    <t xml:space="preserve">TTRES GA Dacula Harbins Rd Dev LLC</t>
  </si>
  <si>
    <t xml:space="preserve">GA, Newnan, Newnan Crossing</t>
  </si>
  <si>
    <t xml:space="preserve">Newnan Crossing</t>
  </si>
  <si>
    <t xml:space="preserve">wncga</t>
  </si>
  <si>
    <t xml:space="preserve">TTRES GA Newnan Crossing LLC</t>
  </si>
  <si>
    <t xml:space="preserve">IN, Fishers, Union</t>
  </si>
  <si>
    <t xml:space="preserve">IN</t>
  </si>
  <si>
    <t xml:space="preserve">Fishers</t>
  </si>
  <si>
    <t xml:space="preserve">Union</t>
  </si>
  <si>
    <t xml:space="preserve">wunfd</t>
  </si>
  <si>
    <t xml:space="preserve">TTRES IN Fishers Union LLC</t>
  </si>
  <si>
    <t xml:space="preserve">IN, Westfield, 191st</t>
  </si>
  <si>
    <t xml:space="preserve">Westfield</t>
  </si>
  <si>
    <t xml:space="preserve">191st</t>
  </si>
  <si>
    <t xml:space="preserve">wwfin</t>
  </si>
  <si>
    <t xml:space="preserve">TTRES IN Westfield 191st LLC</t>
  </si>
  <si>
    <t xml:space="preserve">KS, Overland Park, Metcalf</t>
  </si>
  <si>
    <t xml:space="preserve">KS</t>
  </si>
  <si>
    <t xml:space="preserve">Metcalf</t>
  </si>
  <si>
    <t xml:space="preserve">wovpk</t>
  </si>
  <si>
    <t xml:space="preserve">TTRES KS Overland Park Metcalf LLC</t>
  </si>
  <si>
    <t xml:space="preserve">2022 Fund detail (Barings, 9 properties)</t>
  </si>
  <si>
    <t xml:space="preserve">Buckeye Yuma Rd</t>
  </si>
  <si>
    <t xml:space="preserve">AZ, Buckeye, Yuma Rd</t>
  </si>
  <si>
    <t xml:space="preserve">Buckeye</t>
  </si>
  <si>
    <t xml:space="preserve">Yuma Rd</t>
  </si>
  <si>
    <t xml:space="preserve">wbuck</t>
  </si>
  <si>
    <t xml:space="preserve">TTRES AZ Buckeye Yuma Rd LLC</t>
  </si>
  <si>
    <t xml:space="preserve">Fountain Metropolitan Road</t>
  </si>
  <si>
    <t xml:space="preserve">CO, Fountain, Metropolitan Road</t>
  </si>
  <si>
    <t xml:space="preserve">Fountain</t>
  </si>
  <si>
    <t xml:space="preserve">Metropolitan Road</t>
  </si>
  <si>
    <t xml:space="preserve">wfoun</t>
  </si>
  <si>
    <t xml:space="preserve">TTRES CO Fountain Metropolitan LLC</t>
  </si>
  <si>
    <t xml:space="preserve">Greeley Centerplace Dr</t>
  </si>
  <si>
    <t xml:space="preserve">CO, Greeley, Centerplace Dr</t>
  </si>
  <si>
    <t xml:space="preserve">Greeley</t>
  </si>
  <si>
    <t xml:space="preserve">Centerplace Dr</t>
  </si>
  <si>
    <t xml:space="preserve">wgrco</t>
  </si>
  <si>
    <t xml:space="preserve">TTRES CO Greeley Centerplace Dr LLC</t>
  </si>
  <si>
    <t xml:space="preserve">Monument Jackson Creek Pkwy</t>
  </si>
  <si>
    <t xml:space="preserve">CO, Monument, Jackson Creek Pkwy</t>
  </si>
  <si>
    <t xml:space="preserve">Jackson Creek Pkwy</t>
  </si>
  <si>
    <t xml:space="preserve">wmoco</t>
  </si>
  <si>
    <t xml:space="preserve">TTRES CO Monument Jackson Creek, LLC</t>
  </si>
  <si>
    <t xml:space="preserve">Daytona Williamson Blvd</t>
  </si>
  <si>
    <t xml:space="preserve">FL, Daytona, Williamson Blvd</t>
  </si>
  <si>
    <t xml:space="preserve">Daytona</t>
  </si>
  <si>
    <t xml:space="preserve">Williamson Blvd</t>
  </si>
  <si>
    <t xml:space="preserve">wdwfl</t>
  </si>
  <si>
    <t xml:space="preserve">Watermark at Daytona Williamson FL LLC</t>
  </si>
  <si>
    <t xml:space="preserve">Ocala 48th Ave</t>
  </si>
  <si>
    <t xml:space="preserve">FL, Ocala, 48th Ave</t>
  </si>
  <si>
    <t xml:space="preserve">Ocala</t>
  </si>
  <si>
    <t xml:space="preserve">48th Ave</t>
  </si>
  <si>
    <t xml:space="preserve">wocfl</t>
  </si>
  <si>
    <t xml:space="preserve">TTRES at Ocala 48th FL LLC</t>
  </si>
  <si>
    <t xml:space="preserve">Wyoming Wilson Ave</t>
  </si>
  <si>
    <t xml:space="preserve">MI, Wyoming, Wilson Ave</t>
  </si>
  <si>
    <t xml:space="preserve">MI</t>
  </si>
  <si>
    <t xml:space="preserve">Wyoming</t>
  </si>
  <si>
    <t xml:space="preserve">Wilson Ave</t>
  </si>
  <si>
    <t xml:space="preserve">wwymi</t>
  </si>
  <si>
    <t xml:space="preserve">TTRES MI Wyoming Baneberry Ave LLC</t>
  </si>
  <si>
    <t xml:space="preserve">Woodbury Spring Hill Dr</t>
  </si>
  <si>
    <t xml:space="preserve">MN, Woodbury, Spring Hill Dr</t>
  </si>
  <si>
    <t xml:space="preserve">MN</t>
  </si>
  <si>
    <t xml:space="preserve">Woodbury</t>
  </si>
  <si>
    <t xml:space="preserve">Spring Hill Dr</t>
  </si>
  <si>
    <t xml:space="preserve">wwood</t>
  </si>
  <si>
    <t xml:space="preserve">TTRES at Woodbury Springhill MN LLC</t>
  </si>
  <si>
    <t xml:space="preserve">Raymore Dean Ave</t>
  </si>
  <si>
    <t xml:space="preserve">MO, Raymore, Dean Ave</t>
  </si>
  <si>
    <t xml:space="preserve">MO</t>
  </si>
  <si>
    <t xml:space="preserve">Raymore</t>
  </si>
  <si>
    <t xml:space="preserve">Dean Ave</t>
  </si>
  <si>
    <t xml:space="preserve">wraym</t>
  </si>
  <si>
    <t xml:space="preserve">TTRES MO Raymore Dean Ave LLC</t>
  </si>
  <si>
    <t xml:space="preserve">2022 Fund total</t>
  </si>
  <si>
    <t xml:space="preserve">2023 Fund detail (Barings, 8 properties)</t>
  </si>
  <si>
    <t xml:space="preserve">San Tan Valley Gary Rd</t>
  </si>
  <si>
    <t xml:space="preserve">AZ, San Tan Valley, Gary Rd</t>
  </si>
  <si>
    <t xml:space="preserve">San Tan Valley</t>
  </si>
  <si>
    <t xml:space="preserve">Gary Rd</t>
  </si>
  <si>
    <t xml:space="preserve">wstnd</t>
  </si>
  <si>
    <t xml:space="preserve">TTRES AZ San Tan Valley Hunt Dev LLC</t>
  </si>
  <si>
    <t xml:space="preserve">Bradenton El Conquistador Pkwy</t>
  </si>
  <si>
    <t xml:space="preserve">FL, Bradenton, El Conquistador Pkwy</t>
  </si>
  <si>
    <t xml:space="preserve">Bradenton</t>
  </si>
  <si>
    <t xml:space="preserve">El Conquistador Pkwy</t>
  </si>
  <si>
    <t xml:space="preserve">wbrtn</t>
  </si>
  <si>
    <t xml:space="preserve">TTRES FL Bradenton EL Conquistador LLC</t>
  </si>
  <si>
    <t xml:space="preserve">Lady Lake SE 135th</t>
  </si>
  <si>
    <t xml:space="preserve">FL, Lady Lake, SE 135th</t>
  </si>
  <si>
    <t xml:space="preserve">Lady Lake</t>
  </si>
  <si>
    <t xml:space="preserve">SE 135th</t>
  </si>
  <si>
    <t xml:space="preserve">wlady</t>
  </si>
  <si>
    <t xml:space="preserve">TTRES FL Lady Lake 136th Ave Dev LLC</t>
  </si>
  <si>
    <t xml:space="preserve">North Port Sumter Blvd</t>
  </si>
  <si>
    <t xml:space="preserve">FL, North Port, Sumter Blvd</t>
  </si>
  <si>
    <t xml:space="preserve">North Port</t>
  </si>
  <si>
    <t xml:space="preserve">Sumter Blvd</t>
  </si>
  <si>
    <t xml:space="preserve">wnpfl</t>
  </si>
  <si>
    <t xml:space="preserve">TTRES FL North Port Sumter LLC</t>
  </si>
  <si>
    <t xml:space="preserve">Pensacola W Nine Mile Rd</t>
  </si>
  <si>
    <t xml:space="preserve">FL, Pensacola, W Nine Mile Rd</t>
  </si>
  <si>
    <t xml:space="preserve">Pensacola</t>
  </si>
  <si>
    <t xml:space="preserve">W Nine Mile Rd</t>
  </si>
  <si>
    <t xml:space="preserve">wpn9m</t>
  </si>
  <si>
    <t xml:space="preserve">TTRES FL Pensacola 9 Mile, LLC</t>
  </si>
  <si>
    <t xml:space="preserve">Rockledge Fiske Blvd</t>
  </si>
  <si>
    <t xml:space="preserve">FL, Rockledge, Fiske Blvd</t>
  </si>
  <si>
    <t xml:space="preserve">Rockledge</t>
  </si>
  <si>
    <t xml:space="preserve">Fiske Blvd</t>
  </si>
  <si>
    <t xml:space="preserve">wrckd</t>
  </si>
  <si>
    <t xml:space="preserve">TTRES FL Rockledge Fiske Trail Dev LLC</t>
  </si>
  <si>
    <t xml:space="preserve">Vero Beach 11th Dr.</t>
  </si>
  <si>
    <t xml:space="preserve">FL, Vero Beach, 11th Dr.</t>
  </si>
  <si>
    <t xml:space="preserve">Vero Beach</t>
  </si>
  <si>
    <t xml:space="preserve">11th Dr.</t>
  </si>
  <si>
    <t xml:space="preserve">wvero</t>
  </si>
  <si>
    <t xml:space="preserve">TTRES FL Vero Beach 11th LLC</t>
  </si>
  <si>
    <t xml:space="preserve">Union City Derrick</t>
  </si>
  <si>
    <t xml:space="preserve">GA, Union City, Derrick</t>
  </si>
  <si>
    <t xml:space="preserve">Union City</t>
  </si>
  <si>
    <t xml:space="preserve">Derrick</t>
  </si>
  <si>
    <t xml:space="preserve">wucga</t>
  </si>
  <si>
    <t xml:space="preserve">TTRES GA Union City Derrick, LLC</t>
  </si>
  <si>
    <t xml:space="preserve">2023 Fund total</t>
  </si>
  <si>
    <t xml:space="preserve">Source: 2027 Budgets - Forecast Format.xlsx. Fund detail below supports the portfolio totals; do not add it again. Expand grouped columns for full property identifiers.</t>
  </si>
  <si>
    <t xml:space="preserve">Property Covenant Reference</t>
  </si>
  <si>
    <t xml:space="preserve">Property-level descriptions and future test start dates.</t>
  </si>
  <si>
    <t xml:space="preserve">Key Tests</t>
  </si>
  <si>
    <t xml:space="preserve">New 2027 Tests</t>
  </si>
  <si>
    <t xml:space="preserve">Ongoing / Event-driven in 2027</t>
  </si>
  <si>
    <t xml:space="preserve">First new test starting after 2027</t>
  </si>
  <si>
    <t xml:space="preserve">Cash sweep; net cash flow 105% of interest and LTV 65% to extend at 11/1/2027</t>
  </si>
  <si>
    <t xml:space="preserve">Cash sweep and distribution block (monthly); Interest reserve top-up (On lender notice)</t>
  </si>
  <si>
    <t xml:space="preserve">Cash sweep; net cash flow 105% of interest and LTV 66% to extend in 2028</t>
  </si>
  <si>
    <t xml:space="preserve">Cash trap at Debt Yield under 6.50% from 8/9/2027; 7.00% to extend</t>
  </si>
  <si>
    <t xml:space="preserve">Pay down to Debt Yield 9.75% at 6/30/2028 unless NOI reaches $6,775,000</t>
  </si>
  <si>
    <t xml:space="preserve">Stabilization: NOI (until met, by June 2028)</t>
  </si>
  <si>
    <t xml:space="preserve">Debt Yield 6.00% and Implied DSCR 1.00x (cash trap)</t>
  </si>
  <si>
    <t xml:space="preserve">Interest reserve replenishment (On lender notice)</t>
  </si>
  <si>
    <t xml:space="preserve">Escrow release at DSCR 1.20x and $509,914 monthly rent</t>
  </si>
  <si>
    <t xml:space="preserve">Rent collection escrow release (until released)</t>
  </si>
  <si>
    <t xml:space="preserve">Guarantor: John Thompson and Paul Thrift, each</t>
  </si>
  <si>
    <t xml:space="preserve">DSCR 1.00x from 8/31/2028; 1.25x and LTV 61% to extend</t>
  </si>
  <si>
    <t xml:space="preserve">Cash trap on until NOI $3,000,000; Debt Yield 8.00% and DSCR 1.25x from 3/31/2027</t>
  </si>
  <si>
    <t xml:space="preserve">Cash trap since closing (until cured); Cash Collateral Reserve release (until released); Additional Cash Collateral release (until released)</t>
  </si>
  <si>
    <t xml:space="preserve">Hard maturity 12/29/2026; the 1.20x covenant never tests</t>
  </si>
  <si>
    <t xml:space="preserve">DSCR 1.35x quarterly; 1.25x and LTV 55% to extend</t>
  </si>
  <si>
    <t xml:space="preserve">Cash trap before stabilization (until Initial Stabilization); Cash trap after stabilization (After stabilization); Loan to cost (At all times); Distribution block (At all times)</t>
  </si>
  <si>
    <t xml:space="preserve">DSCR 1.10x; occupancy 87.5%</t>
  </si>
  <si>
    <t xml:space="preserve">LTV Threshold (On appraisal); Reserve Account minimum (at all times)</t>
  </si>
  <si>
    <t xml:space="preserve">DSCR 1.00x from 5/23/2027, 1.20x from 11/23/2027; 1.20x and LTV 60% to extend</t>
  </si>
  <si>
    <t xml:space="preserve">Distribution test: DSCR (Before distributions)</t>
  </si>
  <si>
    <t xml:space="preserve">Occupancy 50% then 80%; DSCR 1.15x at 12/27/2027 and to extend; LTV 60%</t>
  </si>
  <si>
    <t xml:space="preserve">LTV Threshold (On appraisal)</t>
  </si>
  <si>
    <t xml:space="preserve">DSCR 1.00x at 4/30/2027, then 1.20x; 1.20x to extend</t>
  </si>
  <si>
    <t xml:space="preserve">IRM Reserve (At all times); Reappraisal: LTV (On appraisal)</t>
  </si>
  <si>
    <t xml:space="preserve">No net worth or liquidity covenant; annual financial statements only</t>
  </si>
  <si>
    <t xml:space="preserve">Cash trap at Portfolio DSCR under 1.05x; Debt Yield 7.50% to extend</t>
  </si>
  <si>
    <t xml:space="preserve">Cash trap: Portfolio DSCR (any time after 5/31/2026)</t>
  </si>
  <si>
    <t xml:space="preserve">Cash trap at Portfolio DSCR under 1.05x after 4/10/2028; Debt Yield 7.50% to extend</t>
  </si>
  <si>
    <t xml:space="preserve">DSCR 1.20x to extend and annually after</t>
  </si>
  <si>
    <t xml:space="preserve">Cash sweep; net cash flow 105% of interest and LTV 65% to extend in 2029</t>
  </si>
  <si>
    <t xml:space="preserve">DSCR 1.20x to convert, 1.25x after; LTV 60%</t>
  </si>
  <si>
    <t xml:space="preserve">DSCR 1.10x</t>
  </si>
  <si>
    <t xml:space="preserve">DSCR 1.20x; LTV 60%</t>
  </si>
  <si>
    <t xml:space="preserve">DSCR 1.15x to extend, 1.25x after; LTV 60%</t>
  </si>
  <si>
    <t xml:space="preserve">DSCR 1.20x to convert and after; LTV 60%</t>
  </si>
  <si>
    <t xml:space="preserve">Interest reserve deposit if IO DSCR under 1.00x; DSCR 1.10x to extend</t>
  </si>
  <si>
    <t xml:space="preserve">Interest reserve shortfall (any time)</t>
  </si>
  <si>
    <t xml:space="preserve">DSCR 1.15x to extend, 1.20x after</t>
  </si>
  <si>
    <t xml:space="preserve">DSCR 1.00x, then 1.20x</t>
  </si>
  <si>
    <t xml:space="preserve">Cash trap until DSCR 1.25x; DSCR 1.25x and Debt Yield 10% to extend</t>
  </si>
  <si>
    <t xml:space="preserve">Cash trap before stabilization (until stabilization); Loan to cost (At all times)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</si>
</sst>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 yyyy"/>
    <numFmt numFmtId="166" formatCode="0"/>
    <numFmt numFmtId="167" formatCode="mm/dd/yy"/>
    <numFmt numFmtId="168" formatCode="0.00%"/>
    <numFmt numFmtId="169" formatCode="\$#,##0;[RED]&quot;($&quot;#,##0\);\-"/>
    <numFmt numFmtId="170" formatCode="#,##0"/>
    <numFmt numFmtId="171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sz val="11"/>
      <color theme="1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6"/>
      <name val="Arial"/>
      <family val="2"/>
      <charset val="1"/>
    </font>
    <font>
      <sz val="11"/>
      <color rgb="FF595959"/>
      <name val="Arial"/>
      <family val="2"/>
      <charset val="1"/>
    </font>
    <font>
      <sz val="11"/>
      <name val="Arial"/>
      <family val="2"/>
      <charset val="1"/>
    </font>
    <font>
      <sz val="11"/>
      <color rgb="FF008000"/>
      <name val="Arial"/>
      <family val="2"/>
      <charset val="1"/>
    </font>
    <font>
      <b val="true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E7E6E6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ropertyOverview" displayName="PropertyOverview" ref="A23:E51" headerRowCount="1" totalsRowCount="0" totalsRowShown="0">
  <autoFilter ref="A23:E51"/>
  <tableColumns count="5">
    <tableColumn id="1" name="Property"/>
    <tableColumn id="2" name="Lender"/>
    <tableColumn id="3" name="Maturity"/>
    <tableColumn id="4" name="First New Test"/>
    <tableColumn id="5" name="New Tes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20.71"/>
    <col collapsed="false" customWidth="true" hidden="false" outlineLevel="0" max="3" min="3" style="0" width="12.71"/>
    <col collapsed="false" customWidth="true" hidden="false" outlineLevel="0" max="4" min="4" style="0" width="17.29"/>
    <col collapsed="false" customWidth="true" hidden="false" outlineLevel="0" max="5" min="5" style="0" width="13.86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tr">
        <f aca="false">HYPERLINK("#'2027 Calendar'!A1","Dated calendar")</f>
        <v>Dated calendar</v>
      </c>
      <c r="B3" s="3" t="str">
        <f aca="false">HYPERLINK("#'Ongoing Obligations'!A1","Ongoing obligations")</f>
        <v>Ongoing obligations</v>
      </c>
      <c r="C3" s="4" t="str">
        <f aca="false">HYPERLINK("#'Property Reference'!A1","Property reference")</f>
        <v>Property reference</v>
      </c>
      <c r="D3" s="4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5" customFormat="false" ht="15" hidden="false" customHeight="false" outlineLevel="0" collapsed="false">
      <c r="A5" s="5" t="s">
        <v>2</v>
      </c>
      <c r="B5" s="5"/>
      <c r="C5" s="5"/>
      <c r="D5" s="5"/>
      <c r="E5" s="5"/>
      <c r="F5" s="5"/>
    </row>
    <row r="6" customFormat="false" ht="31.5" hidden="false" customHeight="true" outlineLevel="0" collapsed="false">
      <c r="A6" s="6" t="s">
        <v>3</v>
      </c>
      <c r="B6" s="6" t="s">
        <v>4</v>
      </c>
      <c r="C6" s="6" t="s">
        <v>5</v>
      </c>
    </row>
    <row r="7" customFormat="false" ht="18" hidden="false" customHeight="true" outlineLevel="0" collapsed="false">
      <c r="A7" s="7" t="n">
        <f aca="false">DATE(2027,1,1)</f>
        <v>46388</v>
      </c>
      <c r="B7" s="8" t="n">
        <f aca="false">COUNTIFS('2027 Calendar'!$A$5:$A$45,"&gt;="&amp;$A7,'2027 Calendar'!$A$5:$A$45,"&lt;"&amp;EDATE($A7,1),'2027 Calendar'!$D$5:$D$45,"Test")</f>
        <v>0</v>
      </c>
      <c r="C7" s="8" t="n">
        <f aca="false">COUNTIFS('2027 Calendar'!$A$5:$A$45,"&gt;="&amp;$A7,'2027 Calendar'!$A$5:$A$45,"&lt;"&amp;EDATE($A7,1),'2027 Calendar'!$D$5:$D$45,"Maturity")</f>
        <v>0</v>
      </c>
    </row>
    <row r="8" customFormat="false" ht="18" hidden="false" customHeight="true" outlineLevel="0" collapsed="false">
      <c r="A8" s="7" t="n">
        <f aca="false">DATE(2027,2,1)</f>
        <v>46419</v>
      </c>
      <c r="B8" s="8" t="n">
        <f aca="false">COUNTIFS('2027 Calendar'!$A$5:$A$45,"&gt;="&amp;$A8,'2027 Calendar'!$A$5:$A$45,"&lt;"&amp;EDATE($A8,1),'2027 Calendar'!$D$5:$D$45,"Test")</f>
        <v>0</v>
      </c>
      <c r="C8" s="8" t="n">
        <f aca="false">COUNTIFS('2027 Calendar'!$A$5:$A$45,"&gt;="&amp;$A8,'2027 Calendar'!$A$5:$A$45,"&lt;"&amp;EDATE($A8,1),'2027 Calendar'!$D$5:$D$45,"Maturity")</f>
        <v>0</v>
      </c>
    </row>
    <row r="9" customFormat="false" ht="18" hidden="false" customHeight="true" outlineLevel="0" collapsed="false">
      <c r="A9" s="7" t="n">
        <f aca="false">DATE(2027,3,1)</f>
        <v>46447</v>
      </c>
      <c r="B9" s="8" t="n">
        <f aca="false">COUNTIFS('2027 Calendar'!$A$5:$A$45,"&gt;="&amp;$A9,'2027 Calendar'!$A$5:$A$45,"&lt;"&amp;EDATE($A9,1),'2027 Calendar'!$D$5:$D$45,"Test")</f>
        <v>1</v>
      </c>
      <c r="C9" s="8" t="n">
        <f aca="false">COUNTIFS('2027 Calendar'!$A$5:$A$45,"&gt;="&amp;$A9,'2027 Calendar'!$A$5:$A$45,"&lt;"&amp;EDATE($A9,1),'2027 Calendar'!$D$5:$D$45,"Maturity")</f>
        <v>0</v>
      </c>
    </row>
    <row r="10" customFormat="false" ht="18" hidden="false" customHeight="true" outlineLevel="0" collapsed="false">
      <c r="A10" s="7" t="n">
        <f aca="false">DATE(2027,4,1)</f>
        <v>46478</v>
      </c>
      <c r="B10" s="8" t="n">
        <f aca="false">COUNTIFS('2027 Calendar'!$A$5:$A$45,"&gt;="&amp;$A10,'2027 Calendar'!$A$5:$A$45,"&lt;"&amp;EDATE($A10,1),'2027 Calendar'!$D$5:$D$45,"Test")</f>
        <v>2</v>
      </c>
      <c r="C10" s="8" t="n">
        <f aca="false">COUNTIFS('2027 Calendar'!$A$5:$A$45,"&gt;="&amp;$A10,'2027 Calendar'!$A$5:$A$45,"&lt;"&amp;EDATE($A10,1),'2027 Calendar'!$D$5:$D$45,"Maturity")</f>
        <v>0</v>
      </c>
    </row>
    <row r="11" customFormat="false" ht="18" hidden="false" customHeight="true" outlineLevel="0" collapsed="false">
      <c r="A11" s="7" t="n">
        <f aca="false">DATE(2027,5,1)</f>
        <v>46508</v>
      </c>
      <c r="B11" s="8" t="n">
        <f aca="false">COUNTIFS('2027 Calendar'!$A$5:$A$45,"&gt;="&amp;$A11,'2027 Calendar'!$A$5:$A$45,"&lt;"&amp;EDATE($A11,1),'2027 Calendar'!$D$5:$D$45,"Test")</f>
        <v>1</v>
      </c>
      <c r="C11" s="8" t="n">
        <f aca="false">COUNTIFS('2027 Calendar'!$A$5:$A$45,"&gt;="&amp;$A11,'2027 Calendar'!$A$5:$A$45,"&lt;"&amp;EDATE($A11,1),'2027 Calendar'!$D$5:$D$45,"Maturity")</f>
        <v>1</v>
      </c>
    </row>
    <row r="12" customFormat="false" ht="18" hidden="false" customHeight="true" outlineLevel="0" collapsed="false">
      <c r="A12" s="7" t="n">
        <f aca="false">DATE(2027,6,1)</f>
        <v>46539</v>
      </c>
      <c r="B12" s="8" t="n">
        <f aca="false">COUNTIFS('2027 Calendar'!$A$5:$A$45,"&gt;="&amp;$A12,'2027 Calendar'!$A$5:$A$45,"&lt;"&amp;EDATE($A12,1),'2027 Calendar'!$D$5:$D$45,"Test")</f>
        <v>1</v>
      </c>
      <c r="C12" s="8" t="n">
        <f aca="false">COUNTIFS('2027 Calendar'!$A$5:$A$45,"&gt;="&amp;$A12,'2027 Calendar'!$A$5:$A$45,"&lt;"&amp;EDATE($A12,1),'2027 Calendar'!$D$5:$D$45,"Maturity")</f>
        <v>0</v>
      </c>
    </row>
    <row r="13" customFormat="false" ht="18" hidden="false" customHeight="true" outlineLevel="0" collapsed="false">
      <c r="A13" s="7" t="n">
        <f aca="false">DATE(2027,7,1)</f>
        <v>46569</v>
      </c>
      <c r="B13" s="8" t="n">
        <f aca="false">COUNTIFS('2027 Calendar'!$A$5:$A$45,"&gt;="&amp;$A13,'2027 Calendar'!$A$5:$A$45,"&lt;"&amp;EDATE($A13,1),'2027 Calendar'!$D$5:$D$45,"Test")</f>
        <v>0</v>
      </c>
      <c r="C13" s="8" t="n">
        <f aca="false">COUNTIFS('2027 Calendar'!$A$5:$A$45,"&gt;="&amp;$A13,'2027 Calendar'!$A$5:$A$45,"&lt;"&amp;EDATE($A13,1),'2027 Calendar'!$D$5:$D$45,"Maturity")</f>
        <v>0</v>
      </c>
    </row>
    <row r="14" customFormat="false" ht="18" hidden="false" customHeight="true" outlineLevel="0" collapsed="false">
      <c r="A14" s="7" t="n">
        <f aca="false">DATE(2027,8,1)</f>
        <v>46600</v>
      </c>
      <c r="B14" s="8" t="n">
        <f aca="false">COUNTIFS('2027 Calendar'!$A$5:$A$45,"&gt;="&amp;$A14,'2027 Calendar'!$A$5:$A$45,"&lt;"&amp;EDATE($A14,1),'2027 Calendar'!$D$5:$D$45,"Test")</f>
        <v>1</v>
      </c>
      <c r="C14" s="8" t="n">
        <f aca="false">COUNTIFS('2027 Calendar'!$A$5:$A$45,"&gt;="&amp;$A14,'2027 Calendar'!$A$5:$A$45,"&lt;"&amp;EDATE($A14,1),'2027 Calendar'!$D$5:$D$45,"Maturity")</f>
        <v>0</v>
      </c>
    </row>
    <row r="15" customFormat="false" ht="18" hidden="false" customHeight="true" outlineLevel="0" collapsed="false">
      <c r="A15" s="7" t="n">
        <f aca="false">DATE(2027,9,1)</f>
        <v>46631</v>
      </c>
      <c r="B15" s="8" t="n">
        <f aca="false">COUNTIFS('2027 Calendar'!$A$5:$A$45,"&gt;="&amp;$A15,'2027 Calendar'!$A$5:$A$45,"&lt;"&amp;EDATE($A15,1),'2027 Calendar'!$D$5:$D$45,"Test")</f>
        <v>2</v>
      </c>
      <c r="C15" s="8" t="n">
        <f aca="false">COUNTIFS('2027 Calendar'!$A$5:$A$45,"&gt;="&amp;$A15,'2027 Calendar'!$A$5:$A$45,"&lt;"&amp;EDATE($A15,1),'2027 Calendar'!$D$5:$D$45,"Maturity")</f>
        <v>0</v>
      </c>
    </row>
    <row r="16" customFormat="false" ht="18" hidden="false" customHeight="true" outlineLevel="0" collapsed="false">
      <c r="A16" s="7" t="n">
        <f aca="false">DATE(2027,10,1)</f>
        <v>46661</v>
      </c>
      <c r="B16" s="8" t="n">
        <f aca="false">COUNTIFS('2027 Calendar'!$A$5:$A$45,"&gt;="&amp;$A16,'2027 Calendar'!$A$5:$A$45,"&lt;"&amp;EDATE($A16,1),'2027 Calendar'!$D$5:$D$45,"Test")</f>
        <v>0</v>
      </c>
      <c r="C16" s="8" t="n">
        <f aca="false">COUNTIFS('2027 Calendar'!$A$5:$A$45,"&gt;="&amp;$A16,'2027 Calendar'!$A$5:$A$45,"&lt;"&amp;EDATE($A16,1),'2027 Calendar'!$D$5:$D$45,"Maturity")</f>
        <v>0</v>
      </c>
    </row>
    <row r="17" customFormat="false" ht="18" hidden="false" customHeight="true" outlineLevel="0" collapsed="false">
      <c r="A17" s="7" t="n">
        <f aca="false">DATE(2027,11,1)</f>
        <v>46692</v>
      </c>
      <c r="B17" s="8" t="n">
        <f aca="false">COUNTIFS('2027 Calendar'!$A$5:$A$45,"&gt;="&amp;$A17,'2027 Calendar'!$A$5:$A$45,"&lt;"&amp;EDATE($A17,1),'2027 Calendar'!$D$5:$D$45,"Test")</f>
        <v>3</v>
      </c>
      <c r="C17" s="8" t="n">
        <f aca="false">COUNTIFS('2027 Calendar'!$A$5:$A$45,"&gt;="&amp;$A17,'2027 Calendar'!$A$5:$A$45,"&lt;"&amp;EDATE($A17,1),'2027 Calendar'!$D$5:$D$45,"Maturity")</f>
        <v>2</v>
      </c>
    </row>
    <row r="18" customFormat="false" ht="18" hidden="false" customHeight="true" outlineLevel="0" collapsed="false">
      <c r="A18" s="7" t="n">
        <f aca="false">DATE(2027,12,1)</f>
        <v>46722</v>
      </c>
      <c r="B18" s="8" t="n">
        <f aca="false">COUNTIFS('2027 Calendar'!$A$5:$A$45,"&gt;="&amp;$A18,'2027 Calendar'!$A$5:$A$45,"&lt;"&amp;EDATE($A18,1),'2027 Calendar'!$D$5:$D$45,"Test")</f>
        <v>4</v>
      </c>
      <c r="C18" s="8" t="n">
        <f aca="false">COUNTIFS('2027 Calendar'!$A$5:$A$45,"&gt;="&amp;$A18,'2027 Calendar'!$A$5:$A$45,"&lt;"&amp;EDATE($A18,1),'2027 Calendar'!$D$5:$D$45,"Maturity")</f>
        <v>2</v>
      </c>
    </row>
    <row r="19" customFormat="false" ht="18" hidden="false" customHeight="true" outlineLevel="0" collapsed="false">
      <c r="A19" s="9" t="s">
        <v>6</v>
      </c>
      <c r="B19" s="10" t="n">
        <f aca="false">SUM(B7:B18)</f>
        <v>15</v>
      </c>
      <c r="C19" s="10" t="n">
        <f aca="false">SUM(C7:C18)</f>
        <v>5</v>
      </c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31.5" hidden="false" customHeight="true" outlineLevel="0" collapsed="false">
      <c r="A21" s="2" t="s">
        <v>7</v>
      </c>
      <c r="B21" s="2"/>
      <c r="C21" s="2"/>
      <c r="D21" s="2"/>
      <c r="E21" s="2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31.5" hidden="false" customHeight="true" outlineLevel="0" collapsed="false">
      <c r="A23" s="6" t="s">
        <v>8</v>
      </c>
      <c r="B23" s="6" t="s">
        <v>9</v>
      </c>
      <c r="C23" s="6" t="s">
        <v>10</v>
      </c>
      <c r="D23" s="6" t="s">
        <v>11</v>
      </c>
      <c r="E23" s="6" t="s">
        <v>12</v>
      </c>
    </row>
    <row r="24" customFormat="false" ht="21.75" hidden="false" customHeight="true" outlineLevel="0" collapsed="false">
      <c r="A24" s="3" t="str">
        <f aca="false">HYPERLINK("#'Property Reference'!B5",'Property Reference'!B5)</f>
        <v>Dove Valley</v>
      </c>
      <c r="B24" s="5" t="str">
        <f aca="false">'Property Reference'!C5</f>
        <v>Nationwide</v>
      </c>
      <c r="C24" s="11" t="n">
        <f aca="false">'Property Reference'!D5</f>
        <v>46692</v>
      </c>
      <c r="D24" s="11" t="n">
        <f aca="false">'Property Reference'!F5</f>
        <v>46692</v>
      </c>
      <c r="E24" s="12" t="n">
        <f aca="false">'Property Reference'!G5</f>
        <v>1</v>
      </c>
    </row>
    <row r="25" customFormat="false" ht="21.75" hidden="false" customHeight="true" outlineLevel="0" collapsed="false">
      <c r="A25" s="3" t="str">
        <f aca="false">HYPERLINK("#'Property Reference'!B6",'Property Reference'!B6)</f>
        <v>Spectrum Loop</v>
      </c>
      <c r="B25" s="5" t="str">
        <f aca="false">'Property Reference'!C6</f>
        <v>Nationwide</v>
      </c>
      <c r="C25" s="11" t="n">
        <f aca="false">'Property Reference'!D6</f>
        <v>47014</v>
      </c>
      <c r="D25" s="11" t="str">
        <f aca="false">'Property Reference'!F6</f>
        <v>None</v>
      </c>
      <c r="E25" s="12" t="n">
        <f aca="false">'Property Reference'!G6</f>
        <v>0</v>
      </c>
    </row>
    <row r="26" customFormat="false" ht="21.75" hidden="false" customHeight="true" outlineLevel="0" collapsed="false">
      <c r="A26" s="3" t="str">
        <f aca="false">HYPERLINK("#'Property Reference'!B7",'Property Reference'!B7)</f>
        <v>Fort Collins Shields</v>
      </c>
      <c r="B26" s="5" t="str">
        <f aca="false">'Property Reference'!C7</f>
        <v>Starwood</v>
      </c>
      <c r="C26" s="11" t="n">
        <f aca="false">'Property Reference'!D7</f>
        <v>46974</v>
      </c>
      <c r="D26" s="11" t="n">
        <f aca="false">'Property Reference'!F7</f>
        <v>46608</v>
      </c>
      <c r="E26" s="12" t="n">
        <f aca="false">'Property Reference'!G7</f>
        <v>1</v>
      </c>
    </row>
    <row r="27" customFormat="false" ht="21.75" hidden="false" customHeight="true" outlineLevel="0" collapsed="false">
      <c r="A27" s="3" t="str">
        <f aca="false">HYPERLINK("#'Property Reference'!B8",'Property Reference'!B8)</f>
        <v>Fort Collins Vine</v>
      </c>
      <c r="B27" s="5" t="str">
        <f aca="false">'Property Reference'!C8</f>
        <v>Western-Southern</v>
      </c>
      <c r="C27" s="11" t="n">
        <f aca="false">'Property Reference'!D8</f>
        <v>47309</v>
      </c>
      <c r="D27" s="11" t="str">
        <f aca="false">'Property Reference'!F8</f>
        <v>None</v>
      </c>
      <c r="E27" s="12" t="n">
        <f aca="false">'Property Reference'!G8</f>
        <v>0</v>
      </c>
    </row>
    <row r="28" customFormat="false" ht="21.75" hidden="false" customHeight="true" outlineLevel="0" collapsed="false">
      <c r="A28" s="3" t="str">
        <f aca="false">HYPERLINK("#'Property Reference'!B9",'Property Reference'!B9)</f>
        <v>Ellenton</v>
      </c>
      <c r="B28" s="5" t="str">
        <f aca="false">'Property Reference'!C9</f>
        <v>Kayne Anderson</v>
      </c>
      <c r="C28" s="11" t="n">
        <f aca="false">'Property Reference'!D9</f>
        <v>47266</v>
      </c>
      <c r="D28" s="11" t="n">
        <f aca="false">'Property Reference'!F9</f>
        <v>46660</v>
      </c>
      <c r="E28" s="12" t="n">
        <f aca="false">'Property Reference'!G9</f>
        <v>2</v>
      </c>
    </row>
    <row r="29" customFormat="false" ht="33" hidden="false" customHeight="true" outlineLevel="0" collapsed="false">
      <c r="A29" s="3" t="str">
        <f aca="false">HYPERLINK("#'Property Reference'!B10",'Property Reference'!B10)</f>
        <v>Panama City Beach</v>
      </c>
      <c r="B29" s="5" t="str">
        <f aca="false">'Property Reference'!C10</f>
        <v>Merchants Bank of Indiana</v>
      </c>
      <c r="C29" s="11" t="n">
        <f aca="false">'Property Reference'!D10</f>
        <v>47766</v>
      </c>
      <c r="D29" s="11" t="str">
        <f aca="false">'Property Reference'!F10</f>
        <v>None</v>
      </c>
      <c r="E29" s="12" t="n">
        <f aca="false">'Property Reference'!G10</f>
        <v>0</v>
      </c>
    </row>
    <row r="30" customFormat="false" ht="21.75" hidden="false" customHeight="true" outlineLevel="0" collapsed="false">
      <c r="A30" s="3" t="str">
        <f aca="false">HYPERLINK("#'Property Reference'!B11",'Property Reference'!B11)</f>
        <v>Ponte Vedra</v>
      </c>
      <c r="B30" s="5" t="str">
        <f aca="false">'Property Reference'!C11</f>
        <v>Trustmark</v>
      </c>
      <c r="C30" s="11" t="n">
        <f aca="false">'Property Reference'!D11</f>
        <v>47162</v>
      </c>
      <c r="D30" s="11" t="str">
        <f aca="false">'Property Reference'!F11</f>
        <v>None</v>
      </c>
      <c r="E30" s="12" t="n">
        <f aca="false">'Property Reference'!G11</f>
        <v>0</v>
      </c>
    </row>
    <row r="31" customFormat="false" ht="21.75" hidden="false" customHeight="true" outlineLevel="0" collapsed="false">
      <c r="A31" s="3" t="str">
        <f aca="false">HYPERLINK("#'Property Reference'!B12",'Property Reference'!B12)</f>
        <v>Port St Lucie</v>
      </c>
      <c r="B31" s="5" t="str">
        <f aca="false">'Property Reference'!C12</f>
        <v>Blackstone / FGL</v>
      </c>
      <c r="C31" s="11" t="n">
        <f aca="false">'Property Reference'!D12</f>
        <v>46997</v>
      </c>
      <c r="D31" s="11" t="n">
        <f aca="false">'Property Reference'!F12</f>
        <v>46477</v>
      </c>
      <c r="E31" s="12" t="n">
        <f aca="false">'Property Reference'!G12</f>
        <v>1</v>
      </c>
    </row>
    <row r="32" customFormat="false" ht="21.75" hidden="false" customHeight="true" outlineLevel="0" collapsed="false">
      <c r="A32" s="3" t="str">
        <f aca="false">HYPERLINK("#'Property Reference'!B13",'Property Reference'!B13)</f>
        <v>Sarasota</v>
      </c>
      <c r="B32" s="5" t="str">
        <f aca="false">'Property Reference'!C13</f>
        <v>Stifel</v>
      </c>
      <c r="C32" s="11" t="n">
        <f aca="false">'Property Reference'!D13</f>
        <v>46385</v>
      </c>
      <c r="D32" s="11" t="str">
        <f aca="false">'Property Reference'!F13</f>
        <v>None</v>
      </c>
      <c r="E32" s="12" t="n">
        <f aca="false">'Property Reference'!G13</f>
        <v>0</v>
      </c>
    </row>
    <row r="33" customFormat="false" ht="21.75" hidden="false" customHeight="true" outlineLevel="0" collapsed="false">
      <c r="A33" s="3" t="str">
        <f aca="false">HYPERLINK("#'Property Reference'!B14",'Property Reference'!B14)</f>
        <v>St. Augustine</v>
      </c>
      <c r="B33" s="5" t="str">
        <f aca="false">'Property Reference'!C14</f>
        <v>Simmons</v>
      </c>
      <c r="C33" s="11" t="n">
        <f aca="false">'Property Reference'!D14</f>
        <v>46748</v>
      </c>
      <c r="D33" s="11" t="n">
        <f aca="false">'Property Reference'!F14</f>
        <v>46748</v>
      </c>
      <c r="E33" s="12" t="n">
        <f aca="false">'Property Reference'!G14</f>
        <v>1</v>
      </c>
    </row>
    <row r="34" customFormat="false" ht="21.75" hidden="false" customHeight="true" outlineLevel="0" collapsed="false">
      <c r="A34" s="3" t="str">
        <f aca="false">HYPERLINK("#'Property Reference'!B15",'Property Reference'!B15)</f>
        <v>Venice</v>
      </c>
      <c r="B34" s="5" t="str">
        <f aca="false">'Property Reference'!C15</f>
        <v>UMB</v>
      </c>
      <c r="C34" s="11" t="n">
        <f aca="false">'Property Reference'!D15</f>
        <v>46519</v>
      </c>
      <c r="D34" s="11" t="n">
        <f aca="false">'Property Reference'!F15</f>
        <v>46507</v>
      </c>
      <c r="E34" s="12" t="n">
        <f aca="false">'Property Reference'!G15</f>
        <v>1</v>
      </c>
    </row>
    <row r="35" customFormat="false" ht="21.75" hidden="false" customHeight="true" outlineLevel="0" collapsed="false">
      <c r="A35" s="3" t="str">
        <f aca="false">HYPERLINK("#'Property Reference'!B16",'Property Reference'!B16)</f>
        <v>Pooler</v>
      </c>
      <c r="B35" s="5" t="str">
        <f aca="false">'Property Reference'!C16</f>
        <v>Fifth Third</v>
      </c>
      <c r="C35" s="11" t="n">
        <f aca="false">'Property Reference'!D16</f>
        <v>46714</v>
      </c>
      <c r="D35" s="11" t="n">
        <f aca="false">'Property Reference'!F16</f>
        <v>46530</v>
      </c>
      <c r="E35" s="12" t="n">
        <f aca="false">'Property Reference'!G16</f>
        <v>2</v>
      </c>
    </row>
    <row r="36" customFormat="false" ht="21.75" hidden="false" customHeight="true" outlineLevel="0" collapsed="false">
      <c r="A36" s="3" t="str">
        <f aca="false">HYPERLINK("#'Property Reference'!B17",'Property Reference'!B17)</f>
        <v>Stockbridge</v>
      </c>
      <c r="B36" s="5" t="str">
        <f aca="false">'Property Reference'!C17</f>
        <v>UMB</v>
      </c>
      <c r="C36" s="11" t="n">
        <f aca="false">'Property Reference'!D17</f>
        <v>46748</v>
      </c>
      <c r="D36" s="11" t="n">
        <f aca="false">'Property Reference'!F17</f>
        <v>46565</v>
      </c>
      <c r="E36" s="12" t="n">
        <f aca="false">'Property Reference'!G17</f>
        <v>4</v>
      </c>
    </row>
    <row r="37" customFormat="false" ht="21.75" hidden="false" customHeight="true" outlineLevel="0" collapsed="false">
      <c r="A37" s="3" t="str">
        <f aca="false">HYPERLINK("#'Property Reference'!B18",'Property Reference'!B18)</f>
        <v>Nampa Sundance</v>
      </c>
      <c r="B37" s="5" t="str">
        <f aca="false">'Property Reference'!C18</f>
        <v>Wintrust</v>
      </c>
      <c r="C37" s="11" t="n">
        <f aca="false">'Property Reference'!D18</f>
        <v>46846</v>
      </c>
      <c r="D37" s="11" t="n">
        <f aca="false">'Property Reference'!F18</f>
        <v>46507</v>
      </c>
      <c r="E37" s="12" t="n">
        <f aca="false">'Property Reference'!G18</f>
        <v>1</v>
      </c>
    </row>
    <row r="38" customFormat="false" ht="33" hidden="false" customHeight="true" outlineLevel="0" collapsed="false">
      <c r="A38" s="3" t="str">
        <f aca="false">HYPERLINK("#'Property Reference'!B19",'Property Reference'!B19)</f>
        <v>2022 Fund (Barings)</v>
      </c>
      <c r="B38" s="5" t="str">
        <f aca="false">'Property Reference'!C19</f>
        <v>Barings (2022 Fund)</v>
      </c>
      <c r="C38" s="11" t="n">
        <f aca="false">'Property Reference'!D19</f>
        <v>46914</v>
      </c>
      <c r="D38" s="11" t="str">
        <f aca="false">'Property Reference'!F19</f>
        <v>None</v>
      </c>
      <c r="E38" s="12" t="n">
        <f aca="false">'Property Reference'!G19</f>
        <v>0</v>
      </c>
    </row>
    <row r="39" customFormat="false" ht="33" hidden="false" customHeight="true" outlineLevel="0" collapsed="false">
      <c r="A39" s="3" t="str">
        <f aca="false">HYPERLINK("#'Property Reference'!B20",'Property Reference'!B20)</f>
        <v>2023 Fund (Barings)</v>
      </c>
      <c r="B39" s="5" t="str">
        <f aca="false">'Property Reference'!C20</f>
        <v>Barings (2023 Fund)</v>
      </c>
      <c r="C39" s="11" t="n">
        <f aca="false">'Property Reference'!D20</f>
        <v>47401</v>
      </c>
      <c r="D39" s="11" t="str">
        <f aca="false">'Property Reference'!F20</f>
        <v>None</v>
      </c>
      <c r="E39" s="12" t="n">
        <f aca="false">'Property Reference'!G20</f>
        <v>0</v>
      </c>
    </row>
    <row r="40" customFormat="false" ht="33" hidden="false" customHeight="true" outlineLevel="0" collapsed="false">
      <c r="A40" s="3" t="str">
        <f aca="false">HYPERLINK("#'Property Reference'!B21",'Property Reference'!B21)</f>
        <v>Fayetteville Van Asche</v>
      </c>
      <c r="B40" s="5" t="str">
        <f aca="false">'Property Reference'!C21</f>
        <v>Associated / Trustmark</v>
      </c>
      <c r="C40" s="11" t="n">
        <f aca="false">'Property Reference'!D21</f>
        <v>47280</v>
      </c>
      <c r="D40" s="11" t="str">
        <f aca="false">'Property Reference'!F21</f>
        <v>None</v>
      </c>
      <c r="E40" s="12" t="n">
        <f aca="false">'Property Reference'!G21</f>
        <v>0</v>
      </c>
    </row>
    <row r="41" customFormat="false" ht="21.75" hidden="false" customHeight="true" outlineLevel="0" collapsed="false">
      <c r="A41" s="3" t="str">
        <f aca="false">HYPERLINK("#'Property Reference'!B22",'Property Reference'!B22)</f>
        <v>Gilbert Val Vista</v>
      </c>
      <c r="B41" s="5" t="str">
        <f aca="false">'Property Reference'!C22</f>
        <v>Nationwide</v>
      </c>
      <c r="C41" s="11" t="n">
        <f aca="false">'Property Reference'!D22</f>
        <v>47233</v>
      </c>
      <c r="D41" s="11" t="str">
        <f aca="false">'Property Reference'!F22</f>
        <v>None</v>
      </c>
      <c r="E41" s="12" t="n">
        <f aca="false">'Property Reference'!G22</f>
        <v>0</v>
      </c>
    </row>
    <row r="42" customFormat="false" ht="21.75" hidden="false" customHeight="true" outlineLevel="0" collapsed="false">
      <c r="A42" s="3" t="str">
        <f aca="false">HYPERLINK("#'Property Reference'!B23",'Property Reference'!B23)</f>
        <v>Venetucci</v>
      </c>
      <c r="B42" s="5" t="str">
        <f aca="false">'Property Reference'!C23</f>
        <v>PNC</v>
      </c>
      <c r="C42" s="11" t="n">
        <f aca="false">'Property Reference'!D23</f>
        <v>47245</v>
      </c>
      <c r="D42" s="11" t="str">
        <f aca="false">'Property Reference'!F23</f>
        <v>None</v>
      </c>
      <c r="E42" s="12" t="n">
        <f aca="false">'Property Reference'!G23</f>
        <v>0</v>
      </c>
    </row>
    <row r="43" customFormat="false" ht="21.75" hidden="false" customHeight="true" outlineLevel="0" collapsed="false">
      <c r="A43" s="3" t="str">
        <f aca="false">HYPERLINK("#'Property Reference'!B24",'Property Reference'!B24)</f>
        <v>Longmont Hover</v>
      </c>
      <c r="B43" s="5" t="str">
        <f aca="false">'Property Reference'!C24</f>
        <v>Stifel</v>
      </c>
      <c r="C43" s="11" t="n">
        <f aca="false">'Property Reference'!D24</f>
        <v>46923</v>
      </c>
      <c r="D43" s="11" t="n">
        <f aca="false">'Property Reference'!F24</f>
        <v>46752</v>
      </c>
      <c r="E43" s="12" t="n">
        <f aca="false">'Property Reference'!G24</f>
        <v>1</v>
      </c>
    </row>
    <row r="44" customFormat="false" ht="21.75" hidden="false" customHeight="true" outlineLevel="0" collapsed="false">
      <c r="A44" s="3" t="str">
        <f aca="false">HYPERLINK("#'Property Reference'!B25",'Property Reference'!B25)</f>
        <v>Monument Higby</v>
      </c>
      <c r="B44" s="5" t="str">
        <f aca="false">'Property Reference'!C25</f>
        <v>UMB</v>
      </c>
      <c r="C44" s="11" t="n">
        <f aca="false">'Property Reference'!D25</f>
        <v>47250</v>
      </c>
      <c r="D44" s="11" t="str">
        <f aca="false">'Property Reference'!F25</f>
        <v>None</v>
      </c>
      <c r="E44" s="12" t="n">
        <f aca="false">'Property Reference'!G25</f>
        <v>0</v>
      </c>
    </row>
    <row r="45" customFormat="false" ht="21.75" hidden="false" customHeight="true" outlineLevel="0" collapsed="false">
      <c r="A45" s="3" t="str">
        <f aca="false">HYPERLINK("#'Property Reference'!B26",'Property Reference'!B26)</f>
        <v>Wheat Ridge</v>
      </c>
      <c r="B45" s="5" t="str">
        <f aca="false">'Property Reference'!C26</f>
        <v>BOKF / RCB Bank</v>
      </c>
      <c r="C45" s="11" t="n">
        <f aca="false">'Property Reference'!D26</f>
        <v>46978</v>
      </c>
      <c r="D45" s="11" t="str">
        <f aca="false">'Property Reference'!F26</f>
        <v>None</v>
      </c>
      <c r="E45" s="12" t="n">
        <f aca="false">'Property Reference'!G26</f>
        <v>0</v>
      </c>
    </row>
    <row r="46" customFormat="false" ht="21.75" hidden="false" customHeight="true" outlineLevel="0" collapsed="false">
      <c r="A46" s="3" t="str">
        <f aca="false">HYPERLINK("#'Property Reference'!B27",'Property Reference'!B27)</f>
        <v>Buford</v>
      </c>
      <c r="B46" s="5" t="str">
        <f aca="false">'Property Reference'!C27</f>
        <v>BOKF</v>
      </c>
      <c r="C46" s="11" t="n">
        <f aca="false">'Property Reference'!D27</f>
        <v>47202</v>
      </c>
      <c r="D46" s="11" t="str">
        <f aca="false">'Property Reference'!F27</f>
        <v>None</v>
      </c>
      <c r="E46" s="12" t="n">
        <f aca="false">'Property Reference'!G27</f>
        <v>0</v>
      </c>
    </row>
    <row r="47" customFormat="false" ht="21.75" hidden="false" customHeight="true" outlineLevel="0" collapsed="false">
      <c r="A47" s="3" t="str">
        <f aca="false">HYPERLINK("#'Property Reference'!B28",'Property Reference'!B28)</f>
        <v>Dacula</v>
      </c>
      <c r="B47" s="5" t="str">
        <f aca="false">'Property Reference'!C28</f>
        <v>PNC</v>
      </c>
      <c r="C47" s="11" t="n">
        <f aca="false">'Property Reference'!D28</f>
        <v>47349</v>
      </c>
      <c r="D47" s="11" t="str">
        <f aca="false">'Property Reference'!F28</f>
        <v>None</v>
      </c>
      <c r="E47" s="12" t="n">
        <f aca="false">'Property Reference'!G28</f>
        <v>0</v>
      </c>
    </row>
    <row r="48" customFormat="false" ht="21.75" hidden="false" customHeight="true" outlineLevel="0" collapsed="false">
      <c r="A48" s="3" t="str">
        <f aca="false">HYPERLINK("#'Property Reference'!B29",'Property Reference'!B29)</f>
        <v>Newnan</v>
      </c>
      <c r="B48" s="5" t="str">
        <f aca="false">'Property Reference'!C29</f>
        <v>Comerica</v>
      </c>
      <c r="C48" s="11" t="str">
        <f aca="false">'Property Reference'!D29</f>
        <v>June 2029</v>
      </c>
      <c r="D48" s="11" t="str">
        <f aca="false">'Property Reference'!F29</f>
        <v>None</v>
      </c>
      <c r="E48" s="12" t="n">
        <f aca="false">'Property Reference'!G29</f>
        <v>0</v>
      </c>
    </row>
    <row r="49" customFormat="false" ht="33" hidden="false" customHeight="true" outlineLevel="0" collapsed="false">
      <c r="A49" s="3" t="str">
        <f aca="false">HYPERLINK("#'Property Reference'!B30",'Property Reference'!B30)</f>
        <v>Fishers Union</v>
      </c>
      <c r="B49" s="5" t="str">
        <f aca="false">'Property Reference'!C30</f>
        <v>First Internet Bank</v>
      </c>
      <c r="C49" s="11" t="n">
        <f aca="false">'Property Reference'!D30</f>
        <v>47087</v>
      </c>
      <c r="D49" s="11" t="str">
        <f aca="false">'Property Reference'!F30</f>
        <v>None</v>
      </c>
      <c r="E49" s="12" t="n">
        <f aca="false">'Property Reference'!G30</f>
        <v>0</v>
      </c>
    </row>
    <row r="50" customFormat="false" ht="21.75" hidden="false" customHeight="true" outlineLevel="0" collapsed="false">
      <c r="A50" s="3" t="str">
        <f aca="false">HYPERLINK("#'Property Reference'!B31",'Property Reference'!B31)</f>
        <v>Westfield 191st</v>
      </c>
      <c r="B50" s="5" t="str">
        <f aca="false">'Property Reference'!C31</f>
        <v>Fifth Third</v>
      </c>
      <c r="C50" s="11" t="n">
        <f aca="false">'Property Reference'!D31</f>
        <v>47434</v>
      </c>
      <c r="D50" s="11" t="str">
        <f aca="false">'Property Reference'!F31</f>
        <v>None</v>
      </c>
      <c r="E50" s="12" t="n">
        <f aca="false">'Property Reference'!G31</f>
        <v>0</v>
      </c>
    </row>
    <row r="51" customFormat="false" ht="21.75" hidden="false" customHeight="true" outlineLevel="0" collapsed="false">
      <c r="A51" s="3" t="str">
        <f aca="false">HYPERLINK("#'Property Reference'!B32",'Property Reference'!B32)</f>
        <v>Overland Park</v>
      </c>
      <c r="B51" s="5" t="str">
        <f aca="false">'Property Reference'!C32</f>
        <v>Simmons</v>
      </c>
      <c r="C51" s="11" t="n">
        <f aca="false">'Property Reference'!D32</f>
        <v>47269</v>
      </c>
      <c r="D51" s="11" t="str">
        <f aca="false">'Property Reference'!F32</f>
        <v>None</v>
      </c>
      <c r="E51" s="12" t="n">
        <f aca="false">'Property Reference'!G32</f>
        <v>0</v>
      </c>
    </row>
  </sheetData>
  <mergeCells count="4">
    <mergeCell ref="A1:E1"/>
    <mergeCell ref="A2:E2"/>
    <mergeCell ref="C3:D3"/>
    <mergeCell ref="A21:E21"/>
  </mergeCells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&amp;LSummary&amp;CPage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C5" activeCellId="0" sqref="C5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11.71"/>
    <col collapsed="false" customWidth="true" hidden="false" outlineLevel="0" max="2" min="2" style="0" width="20.71"/>
    <col collapsed="false" customWidth="true" hidden="true" outlineLevel="1" max="3" min="3" style="0" width="18.71"/>
    <col collapsed="false" customWidth="true" hidden="false" outlineLevel="0" max="4" min="4" style="0" width="12.71"/>
    <col collapsed="false" customWidth="true" hidden="false" outlineLevel="0" max="5" min="5" style="0" width="28.71"/>
    <col collapsed="false" customWidth="true" hidden="false" outlineLevel="0" max="6" min="6" style="0" width="30.71"/>
    <col collapsed="false" customWidth="true" hidden="false" outlineLevel="0" max="7" min="7" style="0" width="25.71"/>
    <col collapsed="false" customWidth="true" hidden="true" outlineLevel="1" max="8" min="8" style="0" width="30.71"/>
    <col collapsed="false" customWidth="true" hidden="true" outlineLevel="0" max="9" min="9" style="0" width="13"/>
  </cols>
  <sheetData>
    <row r="1" customFormat="false" ht="27" hidden="false" customHeight="true" outlineLevel="0" collapsed="false">
      <c r="A1" s="13" t="s">
        <v>13</v>
      </c>
      <c r="B1" s="13"/>
      <c r="C1" s="13"/>
      <c r="D1" s="13"/>
      <c r="E1" s="13"/>
      <c r="F1" s="13"/>
      <c r="G1" s="13"/>
      <c r="H1" s="13"/>
    </row>
    <row r="2" customFormat="false" ht="33" hidden="false" customHeight="true" outlineLevel="0" collapsed="false">
      <c r="A2" s="14" t="s">
        <v>14</v>
      </c>
      <c r="B2" s="14"/>
      <c r="C2" s="14"/>
      <c r="D2" s="14"/>
      <c r="E2" s="14"/>
      <c r="F2" s="14"/>
      <c r="G2" s="14"/>
      <c r="H2" s="14"/>
    </row>
    <row r="3" customFormat="false" ht="22.5" hidden="false" customHeight="true" outlineLevel="0" collapsed="false">
      <c r="A3" s="4" t="str">
        <f aca="false">HYPERLINK("#'Summary'!A1","Back to Summary")</f>
        <v>Back to Summary</v>
      </c>
      <c r="B3" s="4"/>
      <c r="C3" s="5"/>
      <c r="D3" s="5"/>
      <c r="E3" s="3" t="str">
        <f aca="false">HYPERLINK("#'Ongoing Obligations'!A1","Open ongoing obligations")</f>
        <v>Open ongoing obligations</v>
      </c>
      <c r="F3" s="5"/>
      <c r="G3" s="5"/>
      <c r="H3" s="5"/>
      <c r="I3" s="5"/>
    </row>
    <row r="4" customFormat="false" ht="31.5" hidden="false" customHeight="true" outlineLevel="0" collapsed="false">
      <c r="A4" s="15" t="s">
        <v>15</v>
      </c>
      <c r="B4" s="15" t="s">
        <v>8</v>
      </c>
      <c r="C4" s="15" t="s">
        <v>9</v>
      </c>
      <c r="D4" s="15" t="s">
        <v>16</v>
      </c>
      <c r="E4" s="15" t="s">
        <v>17</v>
      </c>
      <c r="F4" s="15" t="s">
        <v>18</v>
      </c>
      <c r="G4" s="15" t="s">
        <v>19</v>
      </c>
      <c r="H4" s="15" t="s">
        <v>20</v>
      </c>
      <c r="I4" s="6" t="s">
        <v>21</v>
      </c>
    </row>
    <row r="5" customFormat="false" ht="31.5" hidden="false" customHeight="true" outlineLevel="0" collapsed="false">
      <c r="A5" s="16" t="n">
        <v>46477</v>
      </c>
      <c r="B5" s="17" t="str">
        <f aca="false">IFERROR(IF(INDEX('Covenant Tests'!$A$2:$A$107,MATCH($I5,'Covenant Tests'!$J$2:$J$107,0))="","",INDEX('Covenant Tests'!$A$2:$A$107,MATCH($I5,'Covenant Tests'!$J$2:$J$107,0))),"Source record missing")</f>
        <v>Port St Lucie</v>
      </c>
      <c r="C5" s="17" t="str">
        <f aca="false">IFERROR(IF(INDEX('Covenant Tests'!$B$2:$B$107,MATCH($I5,'Covenant Tests'!$J$2:$J$107,0))="","",INDEX('Covenant Tests'!$B$2:$B$107,MATCH($I5,'Covenant Tests'!$J$2:$J$107,0))),"Source record missing")</f>
        <v>Blackstone / FGL</v>
      </c>
      <c r="D5" s="17" t="s">
        <v>17</v>
      </c>
      <c r="E5" s="17" t="s">
        <v>22</v>
      </c>
      <c r="F5" s="17" t="s">
        <v>23</v>
      </c>
      <c r="G5" s="17" t="s">
        <v>24</v>
      </c>
      <c r="H5" s="17" t="str">
        <f aca="false">IFERROR(IF(INDEX('Covenant Tests'!$I$2:$I$107,MATCH($I5,'Covenant Tests'!$J$2:$J$107,0))="","",INDEX('Covenant Tests'!$I$2:$I$107,MATCH($I5,'Covenant Tests'!$J$2:$J$107,0))),"Source record missing")</f>
        <v>Loan Agreement 1.1, Cash Trap Event</v>
      </c>
      <c r="I5" s="17" t="s">
        <v>25</v>
      </c>
    </row>
    <row r="6" customFormat="false" ht="21" hidden="false" customHeight="true" outlineLevel="0" collapsed="false">
      <c r="A6" s="16" t="n">
        <f aca="false">INDEX('Covenant Tests'!$F$2:$F$107,MATCH($I6,'Covenant Tests'!$J$2:$J$107,0))</f>
        <v>46507</v>
      </c>
      <c r="B6" s="17" t="str">
        <f aca="false">IFERROR(IF(INDEX('Covenant Tests'!$A$2:$A$107,MATCH($I6,'Covenant Tests'!$J$2:$J$107,0))="","",INDEX('Covenant Tests'!$A$2:$A$107,MATCH($I6,'Covenant Tests'!$J$2:$J$107,0))),"Source record missing")</f>
        <v>Venice</v>
      </c>
      <c r="C6" s="17" t="str">
        <f aca="false">IFERROR(IF(INDEX('Covenant Tests'!$B$2:$B$107,MATCH($I6,'Covenant Tests'!$J$2:$J$107,0))="","",INDEX('Covenant Tests'!$B$2:$B$107,MATCH($I6,'Covenant Tests'!$J$2:$J$107,0))),"Source record missing")</f>
        <v>UMB</v>
      </c>
      <c r="D6" s="17" t="s">
        <v>17</v>
      </c>
      <c r="E6" s="17" t="s">
        <v>26</v>
      </c>
      <c r="F6" s="17" t="str">
        <f aca="false">IFERROR(IF(INDEX('Covenant Tests'!$D$2:$D$107,MATCH($I6,'Covenant Tests'!$J$2:$J$107,0))="","",INDEX('Covenant Tests'!$D$2:$D$107,MATCH($I6,'Covenant Tests'!$J$2:$J$107,0))),"Source record missing")</f>
        <v>1.10x</v>
      </c>
      <c r="G6" s="17" t="s">
        <v>27</v>
      </c>
      <c r="H6" s="17" t="str">
        <f aca="false">IFERROR(IF(INDEX('Covenant Tests'!$I$2:$I$107,MATCH($I6,'Covenant Tests'!$J$2:$J$107,0))="","",INDEX('Covenant Tests'!$I$2:$I$107,MATCH($I6,'Covenant Tests'!$J$2:$J$107,0))),"Source record missing")</f>
        <v>Note, Section 1</v>
      </c>
      <c r="I6" s="17" t="s">
        <v>28</v>
      </c>
    </row>
    <row r="7" customFormat="false" ht="21" hidden="false" customHeight="true" outlineLevel="0" collapsed="false">
      <c r="A7" s="16" t="n">
        <f aca="false">INDEX('Covenant Tests'!$F$2:$F$107,MATCH($I7,'Covenant Tests'!$J$2:$J$107,0))</f>
        <v>46507</v>
      </c>
      <c r="B7" s="17" t="str">
        <f aca="false">IFERROR(IF(INDEX('Covenant Tests'!$A$2:$A$107,MATCH($I7,'Covenant Tests'!$J$2:$J$107,0))="","",INDEX('Covenant Tests'!$A$2:$A$107,MATCH($I7,'Covenant Tests'!$J$2:$J$107,0))),"Source record missing")</f>
        <v>Nampa Sundance</v>
      </c>
      <c r="C7" s="17" t="str">
        <f aca="false">IFERROR(IF(INDEX('Covenant Tests'!$B$2:$B$107,MATCH($I7,'Covenant Tests'!$J$2:$J$107,0))="","",INDEX('Covenant Tests'!$B$2:$B$107,MATCH($I7,'Covenant Tests'!$J$2:$J$107,0))),"Source record missing")</f>
        <v>Wintrust</v>
      </c>
      <c r="D7" s="17" t="s">
        <v>17</v>
      </c>
      <c r="E7" s="17" t="s">
        <v>29</v>
      </c>
      <c r="F7" s="17" t="str">
        <f aca="false">IFERROR(IF(INDEX('Covenant Tests'!$D$2:$D$107,MATCH($I7,'Covenant Tests'!$J$2:$J$107,0))="","",INDEX('Covenant Tests'!$D$2:$D$107,MATCH($I7,'Covenant Tests'!$J$2:$J$107,0))),"Source record missing")</f>
        <v>1.00x</v>
      </c>
      <c r="G7" s="17" t="s">
        <v>27</v>
      </c>
      <c r="H7" s="17" t="str">
        <f aca="false">IFERROR(IF(INDEX('Covenant Tests'!$I$2:$I$107,MATCH($I7,'Covenant Tests'!$J$2:$J$107,0))="","",INDEX('Covenant Tests'!$I$2:$I$107,MATCH($I7,'Covenant Tests'!$J$2:$J$107,0))),"Source record missing")</f>
        <v>Loan Agreement 9.3</v>
      </c>
      <c r="I7" s="17" t="s">
        <v>30</v>
      </c>
    </row>
    <row r="8" customFormat="false" ht="21" hidden="false" customHeight="true" outlineLevel="0" collapsed="false">
      <c r="A8" s="16" t="n">
        <f aca="false">INDEX('Loan Terms'!$D$2:$D$29,MATCH($B8,'Loan Terms'!$A$2:$A$29,0))</f>
        <v>46519</v>
      </c>
      <c r="B8" s="17" t="s">
        <v>31</v>
      </c>
      <c r="C8" s="17" t="str">
        <f aca="false">INDEX('Loan Terms'!$B$2:$B$29,MATCH($B8,'Loan Terms'!$A$2:$A$29,0))</f>
        <v>UMB</v>
      </c>
      <c r="D8" s="17" t="s">
        <v>10</v>
      </c>
      <c r="E8" s="17" t="s">
        <v>32</v>
      </c>
      <c r="F8" s="17"/>
      <c r="G8" s="17"/>
      <c r="H8" s="17" t="s">
        <v>33</v>
      </c>
      <c r="I8" s="17" t="s">
        <v>10</v>
      </c>
    </row>
    <row r="9" customFormat="false" ht="31.5" hidden="false" customHeight="true" outlineLevel="0" collapsed="false">
      <c r="A9" s="16" t="n">
        <v>46530</v>
      </c>
      <c r="B9" s="17" t="str">
        <f aca="false">IFERROR(IF(INDEX('Covenant Tests'!$A$2:$A$107,MATCH($I9,'Covenant Tests'!$J$2:$J$107,0))="","",INDEX('Covenant Tests'!$A$2:$A$107,MATCH($I9,'Covenant Tests'!$J$2:$J$107,0))),"Source record missing")</f>
        <v>Pooler</v>
      </c>
      <c r="C9" s="17" t="str">
        <f aca="false">IFERROR(IF(INDEX('Covenant Tests'!$B$2:$B$107,MATCH($I9,'Covenant Tests'!$J$2:$J$107,0))="","",INDEX('Covenant Tests'!$B$2:$B$107,MATCH($I9,'Covenant Tests'!$J$2:$J$107,0))),"Source record missing")</f>
        <v>Fifth Third</v>
      </c>
      <c r="D9" s="17" t="s">
        <v>17</v>
      </c>
      <c r="E9" s="17" t="s">
        <v>29</v>
      </c>
      <c r="F9" s="17" t="str">
        <f aca="false">IFERROR(IF(INDEX('Covenant Tests'!$D$2:$D$107,MATCH($I9,'Covenant Tests'!$J$2:$J$107,0))="","",INDEX('Covenant Tests'!$D$2:$D$107,MATCH($I9,'Covenant Tests'!$J$2:$J$107,0))),"Source record missing")</f>
        <v>1.00x, at rents no lower than the Proforma Rents</v>
      </c>
      <c r="G9" s="17" t="s">
        <v>34</v>
      </c>
      <c r="H9" s="17" t="str">
        <f aca="false">IFERROR(IF(INDEX('Covenant Tests'!$I$2:$I$107,MATCH($I9,'Covenant Tests'!$J$2:$J$107,0))="","",INDEX('Covenant Tests'!$I$2:$I$107,MATCH($I9,'Covenant Tests'!$J$2:$J$107,0))),"Source record missing")</f>
        <v>Loan Agreement 9.8</v>
      </c>
      <c r="I9" s="17" t="s">
        <v>35</v>
      </c>
    </row>
    <row r="10" customFormat="false" ht="31.5" hidden="false" customHeight="true" outlineLevel="0" collapsed="false">
      <c r="A10" s="16" t="n">
        <v>46565</v>
      </c>
      <c r="B10" s="17" t="str">
        <f aca="false">IFERROR(IF(INDEX('Covenant Tests'!$A$2:$A$107,MATCH($I10,'Covenant Tests'!$J$2:$J$107,0))="","",INDEX('Covenant Tests'!$A$2:$A$107,MATCH($I10,'Covenant Tests'!$J$2:$J$107,0))),"Source record missing")</f>
        <v>Stockbridge</v>
      </c>
      <c r="C10" s="17" t="str">
        <f aca="false">IFERROR(IF(INDEX('Covenant Tests'!$B$2:$B$107,MATCH($I10,'Covenant Tests'!$J$2:$J$107,0))="","",INDEX('Covenant Tests'!$B$2:$B$107,MATCH($I10,'Covenant Tests'!$J$2:$J$107,0))),"Source record missing")</f>
        <v>UMB</v>
      </c>
      <c r="D10" s="17" t="s">
        <v>17</v>
      </c>
      <c r="E10" s="17" t="s">
        <v>36</v>
      </c>
      <c r="F10" s="17" t="s">
        <v>37</v>
      </c>
      <c r="G10" s="17" t="s">
        <v>38</v>
      </c>
      <c r="H10" s="17" t="str">
        <f aca="false">IFERROR(IF(INDEX('Covenant Tests'!$I$2:$I$107,MATCH($I10,'Covenant Tests'!$J$2:$J$107,0))="","",INDEX('Covenant Tests'!$I$2:$I$107,MATCH($I10,'Covenant Tests'!$J$2:$J$107,0))),"Source record missing")</f>
        <v>Loan Agreement 7.25</v>
      </c>
      <c r="I10" s="17" t="s">
        <v>39</v>
      </c>
    </row>
    <row r="11" customFormat="false" ht="57.75" hidden="false" customHeight="true" outlineLevel="0" collapsed="false">
      <c r="A11" s="16" t="n">
        <v>46608</v>
      </c>
      <c r="B11" s="17" t="str">
        <f aca="false">IFERROR(IF(INDEX('Covenant Tests'!$A$2:$A$107,MATCH($I11,'Covenant Tests'!$J$2:$J$107,0))="","",INDEX('Covenant Tests'!$A$2:$A$107,MATCH($I11,'Covenant Tests'!$J$2:$J$107,0))),"Source record missing")</f>
        <v>Fort Collins Shields</v>
      </c>
      <c r="C11" s="17" t="str">
        <f aca="false">IFERROR(IF(INDEX('Covenant Tests'!$B$2:$B$107,MATCH($I11,'Covenant Tests'!$J$2:$J$107,0))="","",INDEX('Covenant Tests'!$B$2:$B$107,MATCH($I11,'Covenant Tests'!$J$2:$J$107,0))),"Source record missing")</f>
        <v>Starwood</v>
      </c>
      <c r="D11" s="17" t="s">
        <v>17</v>
      </c>
      <c r="E11" s="17" t="s">
        <v>40</v>
      </c>
      <c r="F11" s="17" t="str">
        <f aca="false">IFERROR(IF(INDEX('Covenant Tests'!$D$2:$D$107,MATCH($I11,'Covenant Tests'!$J$2:$J$107,0))="","",INDEX('Covenant Tests'!$D$2:$D$107,MATCH($I11,'Covenant Tests'!$J$2:$J$107,0))),"Source record missing")</f>
        <v>6.50% (6.75% for two straight quarters to release)</v>
      </c>
      <c r="G11" s="17" t="s">
        <v>41</v>
      </c>
      <c r="H11" s="17" t="str">
        <f aca="false">IFERROR(IF(INDEX('Covenant Tests'!$I$2:$I$107,MATCH($I11,'Covenant Tests'!$J$2:$J$107,0))="","",INDEX('Covenant Tests'!$I$2:$I$107,MATCH($I11,'Covenant Tests'!$J$2:$J$107,0))),"Source record missing")</f>
        <v>Loan Agreement 1.1, Cash Management Event</v>
      </c>
      <c r="I11" s="17" t="s">
        <v>42</v>
      </c>
    </row>
    <row r="12" customFormat="false" ht="31.5" hidden="false" customHeight="true" outlineLevel="0" collapsed="false">
      <c r="A12" s="16" t="n">
        <v>46660</v>
      </c>
      <c r="B12" s="17" t="str">
        <f aca="false">IFERROR(IF(INDEX('Covenant Tests'!$A$2:$A$107,MATCH($I12,'Covenant Tests'!$J$2:$J$107,0))="","",INDEX('Covenant Tests'!$A$2:$A$107,MATCH($I12,'Covenant Tests'!$J$2:$J$107,0))),"Source record missing")</f>
        <v>Ellenton</v>
      </c>
      <c r="C12" s="17" t="str">
        <f aca="false">IFERROR(IF(INDEX('Covenant Tests'!$B$2:$B$107,MATCH($I12,'Covenant Tests'!$J$2:$J$107,0))="","",INDEX('Covenant Tests'!$B$2:$B$107,MATCH($I12,'Covenant Tests'!$J$2:$J$107,0))),"Source record missing")</f>
        <v>Kayne Anderson</v>
      </c>
      <c r="D12" s="17" t="s">
        <v>17</v>
      </c>
      <c r="E12" s="17" t="s">
        <v>43</v>
      </c>
      <c r="F12" s="17" t="str">
        <f aca="false">IFERROR(IF(INDEX('Covenant Tests'!$D$2:$D$107,MATCH($I12,'Covenant Tests'!$J$2:$J$107,0))="","",INDEX('Covenant Tests'!$D$2:$D$107,MATCH($I12,'Covenant Tests'!$J$2:$J$107,0))),"Source record missing")</f>
        <v>6.00% (7.00% to release)</v>
      </c>
      <c r="G12" s="17" t="s">
        <v>24</v>
      </c>
      <c r="H12" s="17" t="str">
        <f aca="false">IFERROR(IF(INDEX('Covenant Tests'!$I$2:$I$107,MATCH($I12,'Covenant Tests'!$J$2:$J$107,0))="","",INDEX('Covenant Tests'!$I$2:$I$107,MATCH($I12,'Covenant Tests'!$J$2:$J$107,0))),"Source record missing")</f>
        <v>Loan Agreement 2.5(a)</v>
      </c>
      <c r="I12" s="17" t="s">
        <v>44</v>
      </c>
    </row>
    <row r="13" customFormat="false" ht="31.5" hidden="false" customHeight="true" outlineLevel="0" collapsed="false">
      <c r="A13" s="16" t="n">
        <v>46660</v>
      </c>
      <c r="B13" s="17" t="str">
        <f aca="false">IFERROR(IF(INDEX('Covenant Tests'!$A$2:$A$107,MATCH($I13,'Covenant Tests'!$J$2:$J$107,0))="","",INDEX('Covenant Tests'!$A$2:$A$107,MATCH($I13,'Covenant Tests'!$J$2:$J$107,0))),"Source record missing")</f>
        <v>Ellenton</v>
      </c>
      <c r="C13" s="17" t="str">
        <f aca="false">IFERROR(IF(INDEX('Covenant Tests'!$B$2:$B$107,MATCH($I13,'Covenant Tests'!$J$2:$J$107,0))="","",INDEX('Covenant Tests'!$B$2:$B$107,MATCH($I13,'Covenant Tests'!$J$2:$J$107,0))),"Source record missing")</f>
        <v>Kayne Anderson</v>
      </c>
      <c r="D13" s="17" t="s">
        <v>17</v>
      </c>
      <c r="E13" s="17" t="s">
        <v>45</v>
      </c>
      <c r="F13" s="17" t="str">
        <f aca="false">IFERROR(IF(INDEX('Covenant Tests'!$D$2:$D$107,MATCH($I13,'Covenant Tests'!$J$2:$J$107,0))="","",INDEX('Covenant Tests'!$D$2:$D$107,MATCH($I13,'Covenant Tests'!$J$2:$J$107,0))),"Source record missing")</f>
        <v>1.00x (1.05x to release)</v>
      </c>
      <c r="G13" s="17" t="s">
        <v>24</v>
      </c>
      <c r="H13" s="17" t="str">
        <f aca="false">IFERROR(IF(INDEX('Covenant Tests'!$I$2:$I$107,MATCH($I13,'Covenant Tests'!$J$2:$J$107,0))="","",INDEX('Covenant Tests'!$I$2:$I$107,MATCH($I13,'Covenant Tests'!$J$2:$J$107,0))),"Source record missing")</f>
        <v>Loan Agreement 2.5(b)</v>
      </c>
      <c r="I13" s="17" t="s">
        <v>46</v>
      </c>
    </row>
    <row r="14" customFormat="false" ht="31.5" hidden="false" customHeight="true" outlineLevel="0" collapsed="false">
      <c r="A14" s="16" t="n">
        <f aca="false">INDEX('Covenant Tests'!$F$2:$F$107,MATCH($I14,'Covenant Tests'!$J$2:$J$107,0))</f>
        <v>46692</v>
      </c>
      <c r="B14" s="17" t="str">
        <f aca="false">IFERROR(IF(INDEX('Covenant Tests'!$A$2:$A$107,MATCH($I14,'Covenant Tests'!$J$2:$J$107,0))="","",INDEX('Covenant Tests'!$A$2:$A$107,MATCH($I14,'Covenant Tests'!$J$2:$J$107,0))),"Source record missing")</f>
        <v>Dove Valley</v>
      </c>
      <c r="C14" s="17" t="str">
        <f aca="false">IFERROR(IF(INDEX('Covenant Tests'!$B$2:$B$107,MATCH($I14,'Covenant Tests'!$J$2:$J$107,0))="","",INDEX('Covenant Tests'!$B$2:$B$107,MATCH($I14,'Covenant Tests'!$J$2:$J$107,0))),"Source record missing")</f>
        <v>Nationwide</v>
      </c>
      <c r="D14" s="17" t="s">
        <v>17</v>
      </c>
      <c r="E14" s="17" t="s">
        <v>47</v>
      </c>
      <c r="F14" s="17" t="str">
        <f aca="false">IFERROR(IF(INDEX('Covenant Tests'!$D$2:$D$107,MATCH($I14,'Covenant Tests'!$J$2:$J$107,0))="","",INDEX('Covenant Tests'!$D$2:$D$107,MATCH($I14,'Covenant Tests'!$J$2:$J$107,0))),"Source record missing")</f>
        <v>105% of interest at the 8.50% Base Rate</v>
      </c>
      <c r="G14" s="17" t="s">
        <v>27</v>
      </c>
      <c r="H14" s="17" t="str">
        <f aca="false">IFERROR(IF(INDEX('Covenant Tests'!$I$2:$I$107,MATCH($I14,'Covenant Tests'!$J$2:$J$107,0))="","",INDEX('Covenant Tests'!$I$2:$I$107,MATCH($I14,'Covenant Tests'!$J$2:$J$107,0))),"Source record missing")</f>
        <v>Loan Agreement 3.7(g)</v>
      </c>
      <c r="I14" s="17" t="s">
        <v>48</v>
      </c>
    </row>
    <row r="15" customFormat="false" ht="21" hidden="false" customHeight="true" outlineLevel="0" collapsed="false">
      <c r="A15" s="16" t="n">
        <f aca="false">INDEX('Loan Terms'!$D$2:$D$29,MATCH($B15,'Loan Terms'!$A$2:$A$29,0))</f>
        <v>46692</v>
      </c>
      <c r="B15" s="17" t="s">
        <v>49</v>
      </c>
      <c r="C15" s="17" t="str">
        <f aca="false">INDEX('Loan Terms'!$B$2:$B$29,MATCH($B15,'Loan Terms'!$A$2:$A$29,0))</f>
        <v>Nationwide</v>
      </c>
      <c r="D15" s="17" t="s">
        <v>10</v>
      </c>
      <c r="E15" s="17" t="s">
        <v>32</v>
      </c>
      <c r="F15" s="17"/>
      <c r="G15" s="17"/>
      <c r="H15" s="17" t="s">
        <v>50</v>
      </c>
      <c r="I15" s="17" t="s">
        <v>10</v>
      </c>
    </row>
    <row r="16" customFormat="false" ht="73.5" hidden="false" customHeight="true" outlineLevel="0" collapsed="false">
      <c r="A16" s="16" t="n">
        <v>46714</v>
      </c>
      <c r="B16" s="17" t="str">
        <f aca="false">IFERROR(IF(INDEX('Covenant Tests'!$A$2:$A$107,MATCH($I16,'Covenant Tests'!$J$2:$J$107,0))="","",INDEX('Covenant Tests'!$A$2:$A$107,MATCH($I16,'Covenant Tests'!$J$2:$J$107,0))),"Source record missing")</f>
        <v>Pooler</v>
      </c>
      <c r="C16" s="17" t="str">
        <f aca="false">IFERROR(IF(INDEX('Covenant Tests'!$B$2:$B$107,MATCH($I16,'Covenant Tests'!$J$2:$J$107,0))="","",INDEX('Covenant Tests'!$B$2:$B$107,MATCH($I16,'Covenant Tests'!$J$2:$J$107,0))),"Source record missing")</f>
        <v>Fifth Third</v>
      </c>
      <c r="D16" s="17" t="s">
        <v>17</v>
      </c>
      <c r="E16" s="17" t="s">
        <v>51</v>
      </c>
      <c r="F16" s="17" t="str">
        <f aca="false">IFERROR(IF(INDEX('Covenant Tests'!$D$2:$D$107,MATCH($I16,'Covenant Tests'!$J$2:$J$107,0))="","",INDEX('Covenant Tests'!$D$2:$D$107,MATCH($I16,'Covenant Tests'!$J$2:$J$107,0))),"Source record missing")</f>
        <v>1.20x</v>
      </c>
      <c r="G16" s="17" t="s">
        <v>52</v>
      </c>
      <c r="H16" s="17" t="s">
        <v>53</v>
      </c>
      <c r="I16" s="17" t="s">
        <v>54</v>
      </c>
    </row>
    <row r="17" customFormat="false" ht="21" hidden="false" customHeight="true" outlineLevel="0" collapsed="false">
      <c r="A17" s="16" t="n">
        <f aca="false">INDEX('Loan Terms'!$D$2:$D$29,MATCH($B17,'Loan Terms'!$A$2:$A$29,0))</f>
        <v>46714</v>
      </c>
      <c r="B17" s="17" t="s">
        <v>55</v>
      </c>
      <c r="C17" s="17" t="str">
        <f aca="false">INDEX('Loan Terms'!$B$2:$B$29,MATCH($B17,'Loan Terms'!$A$2:$A$29,0))</f>
        <v>Fifth Third</v>
      </c>
      <c r="D17" s="17" t="s">
        <v>10</v>
      </c>
      <c r="E17" s="17" t="s">
        <v>32</v>
      </c>
      <c r="F17" s="17"/>
      <c r="G17" s="17"/>
      <c r="H17" s="17" t="s">
        <v>56</v>
      </c>
      <c r="I17" s="17" t="s">
        <v>10</v>
      </c>
    </row>
    <row r="18" customFormat="false" ht="21" hidden="false" customHeight="true" outlineLevel="0" collapsed="false">
      <c r="A18" s="16" t="n">
        <f aca="false">INDEX('Covenant Tests'!$F$2:$F$107,MATCH($I18,'Covenant Tests'!$J$2:$J$107,0))</f>
        <v>46721</v>
      </c>
      <c r="B18" s="17" t="str">
        <f aca="false">IFERROR(IF(INDEX('Covenant Tests'!$A$2:$A$107,MATCH($I18,'Covenant Tests'!$J$2:$J$107,0))="","",INDEX('Covenant Tests'!$A$2:$A$107,MATCH($I18,'Covenant Tests'!$J$2:$J$107,0))),"Source record missing")</f>
        <v>Stockbridge</v>
      </c>
      <c r="C18" s="17" t="str">
        <f aca="false">IFERROR(IF(INDEX('Covenant Tests'!$B$2:$B$107,MATCH($I18,'Covenant Tests'!$J$2:$J$107,0))="","",INDEX('Covenant Tests'!$B$2:$B$107,MATCH($I18,'Covenant Tests'!$J$2:$J$107,0))),"Source record missing")</f>
        <v>UMB</v>
      </c>
      <c r="D18" s="17" t="s">
        <v>17</v>
      </c>
      <c r="E18" s="17" t="s">
        <v>26</v>
      </c>
      <c r="F18" s="17" t="str">
        <f aca="false">IFERROR(IF(INDEX('Covenant Tests'!$D$2:$D$107,MATCH($I18,'Covenant Tests'!$J$2:$J$107,0))="","",INDEX('Covenant Tests'!$D$2:$D$107,MATCH($I18,'Covenant Tests'!$J$2:$J$107,0))),"Source record missing")</f>
        <v>1.15x</v>
      </c>
      <c r="G18" s="17" t="s">
        <v>27</v>
      </c>
      <c r="H18" s="17" t="str">
        <f aca="false">IFERROR(IF(INDEX('Covenant Tests'!$I$2:$I$107,MATCH($I18,'Covenant Tests'!$J$2:$J$107,0))="","",INDEX('Covenant Tests'!$I$2:$I$107,MATCH($I18,'Covenant Tests'!$J$2:$J$107,0))),"Source record missing")</f>
        <v>Note, Section 2</v>
      </c>
      <c r="I18" s="17" t="s">
        <v>57</v>
      </c>
    </row>
    <row r="19" customFormat="false" ht="21" hidden="false" customHeight="true" outlineLevel="0" collapsed="false">
      <c r="A19" s="16" t="n">
        <f aca="false">INDEX('Covenant Tests'!$F$2:$F$107,MATCH($I19,'Covenant Tests'!$J$2:$J$107,0))</f>
        <v>46748</v>
      </c>
      <c r="B19" s="17" t="str">
        <f aca="false">IFERROR(IF(INDEX('Covenant Tests'!$A$2:$A$107,MATCH($I19,'Covenant Tests'!$J$2:$J$107,0))="","",INDEX('Covenant Tests'!$A$2:$A$107,MATCH($I19,'Covenant Tests'!$J$2:$J$107,0))),"Source record missing")</f>
        <v>St. Augustine</v>
      </c>
      <c r="C19" s="17" t="str">
        <f aca="false">IFERROR(IF(INDEX('Covenant Tests'!$B$2:$B$107,MATCH($I19,'Covenant Tests'!$J$2:$J$107,0))="","",INDEX('Covenant Tests'!$B$2:$B$107,MATCH($I19,'Covenant Tests'!$J$2:$J$107,0))),"Source record missing")</f>
        <v>Simmons</v>
      </c>
      <c r="D19" s="17" t="s">
        <v>17</v>
      </c>
      <c r="E19" s="17" t="s">
        <v>26</v>
      </c>
      <c r="F19" s="17" t="str">
        <f aca="false">IFERROR(IF(INDEX('Covenant Tests'!$D$2:$D$107,MATCH($I19,'Covenant Tests'!$J$2:$J$107,0))="","",INDEX('Covenant Tests'!$D$2:$D$107,MATCH($I19,'Covenant Tests'!$J$2:$J$107,0))),"Source record missing")</f>
        <v>1.25x</v>
      </c>
      <c r="G19" s="17" t="s">
        <v>27</v>
      </c>
      <c r="H19" s="17" t="str">
        <f aca="false">IFERROR(IF(INDEX('Covenant Tests'!$I$2:$I$107,MATCH($I19,'Covenant Tests'!$J$2:$J$107,0))="","",INDEX('Covenant Tests'!$I$2:$I$107,MATCH($I19,'Covenant Tests'!$J$2:$J$107,0))),"Source record missing")</f>
        <v>Note, Extension</v>
      </c>
      <c r="I19" s="17" t="s">
        <v>58</v>
      </c>
    </row>
    <row r="20" customFormat="false" ht="21" hidden="false" customHeight="true" outlineLevel="0" collapsed="false">
      <c r="A20" s="16" t="n">
        <f aca="false">INDEX('Loan Terms'!$D$2:$D$29,MATCH($B20,'Loan Terms'!$A$2:$A$29,0))</f>
        <v>46748</v>
      </c>
      <c r="B20" s="17" t="s">
        <v>59</v>
      </c>
      <c r="C20" s="17" t="str">
        <f aca="false">INDEX('Loan Terms'!$B$2:$B$29,MATCH($B20,'Loan Terms'!$A$2:$A$29,0))</f>
        <v>Simmons</v>
      </c>
      <c r="D20" s="17" t="s">
        <v>10</v>
      </c>
      <c r="E20" s="17" t="s">
        <v>32</v>
      </c>
      <c r="F20" s="17"/>
      <c r="G20" s="17"/>
      <c r="H20" s="17" t="s">
        <v>60</v>
      </c>
      <c r="I20" s="17" t="s">
        <v>10</v>
      </c>
    </row>
    <row r="21" customFormat="false" ht="31.5" hidden="false" customHeight="true" outlineLevel="0" collapsed="false">
      <c r="A21" s="16" t="n">
        <v>46748</v>
      </c>
      <c r="B21" s="17" t="str">
        <f aca="false">IFERROR(IF(INDEX('Covenant Tests'!$A$2:$A$107,MATCH($I21,'Covenant Tests'!$J$2:$J$107,0))="","",INDEX('Covenant Tests'!$A$2:$A$107,MATCH($I21,'Covenant Tests'!$J$2:$J$107,0))),"Source record missing")</f>
        <v>Stockbridge</v>
      </c>
      <c r="C21" s="17" t="str">
        <f aca="false">IFERROR(IF(INDEX('Covenant Tests'!$B$2:$B$107,MATCH($I21,'Covenant Tests'!$J$2:$J$107,0))="","",INDEX('Covenant Tests'!$B$2:$B$107,MATCH($I21,'Covenant Tests'!$J$2:$J$107,0))),"Source record missing")</f>
        <v>UMB</v>
      </c>
      <c r="D21" s="17" t="s">
        <v>17</v>
      </c>
      <c r="E21" s="17" t="s">
        <v>61</v>
      </c>
      <c r="F21" s="17" t="s">
        <v>62</v>
      </c>
      <c r="G21" s="17" t="s">
        <v>63</v>
      </c>
      <c r="H21" s="17" t="str">
        <f aca="false">IFERROR(IF(INDEX('Covenant Tests'!$I$2:$I$107,MATCH($I21,'Covenant Tests'!$J$2:$J$107,0))="","",INDEX('Covenant Tests'!$I$2:$I$107,MATCH($I21,'Covenant Tests'!$J$2:$J$107,0))),"Source record missing")</f>
        <v>Loan Agreement 7.25</v>
      </c>
      <c r="I21" s="17" t="s">
        <v>39</v>
      </c>
    </row>
    <row r="22" customFormat="false" ht="31.5" hidden="false" customHeight="true" outlineLevel="0" collapsed="false">
      <c r="A22" s="16" t="n">
        <v>46748</v>
      </c>
      <c r="B22" s="17" t="str">
        <f aca="false">IFERROR(IF(INDEX('Covenant Tests'!$A$2:$A$107,MATCH($I22,'Covenant Tests'!$J$2:$J$107,0))="","",INDEX('Covenant Tests'!$A$2:$A$107,MATCH($I22,'Covenant Tests'!$J$2:$J$107,0))),"Source record missing")</f>
        <v>Stockbridge</v>
      </c>
      <c r="C22" s="17" t="str">
        <f aca="false">IFERROR(IF(INDEX('Covenant Tests'!$B$2:$B$107,MATCH($I22,'Covenant Tests'!$J$2:$J$107,0))="","",INDEX('Covenant Tests'!$B$2:$B$107,MATCH($I22,'Covenant Tests'!$J$2:$J$107,0))),"Source record missing")</f>
        <v>UMB</v>
      </c>
      <c r="D22" s="17" t="s">
        <v>17</v>
      </c>
      <c r="E22" s="17" t="s">
        <v>64</v>
      </c>
      <c r="F22" s="17" t="str">
        <f aca="false">IFERROR(IF(INDEX('Covenant Tests'!$D$2:$D$107,MATCH($I22,'Covenant Tests'!$J$2:$J$107,0))="","",INDEX('Covenant Tests'!$D$2:$D$107,MATCH($I22,'Covenant Tests'!$J$2:$J$107,0))),"Source record missing")</f>
        <v>1.15x</v>
      </c>
      <c r="G22" s="17" t="s">
        <v>65</v>
      </c>
      <c r="H22" s="17" t="str">
        <f aca="false">IFERROR(IF(INDEX('Covenant Tests'!$I$2:$I$107,MATCH($I22,'Covenant Tests'!$J$2:$J$107,0))="","",INDEX('Covenant Tests'!$I$2:$I$107,MATCH($I22,'Covenant Tests'!$J$2:$J$107,0))),"Source record missing")</f>
        <v>Loan Agreement 7.20</v>
      </c>
      <c r="I22" s="17" t="s">
        <v>66</v>
      </c>
    </row>
    <row r="23" customFormat="false" ht="21" hidden="false" customHeight="true" outlineLevel="0" collapsed="false">
      <c r="A23" s="16" t="n">
        <f aca="false">INDEX('Loan Terms'!$D$2:$D$29,MATCH($B23,'Loan Terms'!$A$2:$A$29,0))</f>
        <v>46748</v>
      </c>
      <c r="B23" s="17" t="s">
        <v>67</v>
      </c>
      <c r="C23" s="17" t="str">
        <f aca="false">INDEX('Loan Terms'!$B$2:$B$29,MATCH($B23,'Loan Terms'!$A$2:$A$29,0))</f>
        <v>UMB</v>
      </c>
      <c r="D23" s="17" t="s">
        <v>10</v>
      </c>
      <c r="E23" s="17" t="s">
        <v>32</v>
      </c>
      <c r="F23" s="17"/>
      <c r="G23" s="17"/>
      <c r="H23" s="17" t="s">
        <v>68</v>
      </c>
      <c r="I23" s="17" t="s">
        <v>10</v>
      </c>
    </row>
    <row r="24" customFormat="false" ht="21" hidden="false" customHeight="true" outlineLevel="0" collapsed="false">
      <c r="A24" s="16" t="n">
        <f aca="false">INDEX('Covenant Tests'!$F$2:$F$107,MATCH($I24,'Covenant Tests'!$J$2:$J$107,0))</f>
        <v>46752</v>
      </c>
      <c r="B24" s="17" t="str">
        <f aca="false">IFERROR(IF(INDEX('Covenant Tests'!$A$2:$A$107,MATCH($I24,'Covenant Tests'!$J$2:$J$107,0))="","",INDEX('Covenant Tests'!$A$2:$A$107,MATCH($I24,'Covenant Tests'!$J$2:$J$107,0))),"Source record missing")</f>
        <v>Longmont Hover</v>
      </c>
      <c r="C24" s="17" t="str">
        <f aca="false">IFERROR(IF(INDEX('Covenant Tests'!$B$2:$B$107,MATCH($I24,'Covenant Tests'!$J$2:$J$107,0))="","",INDEX('Covenant Tests'!$B$2:$B$107,MATCH($I24,'Covenant Tests'!$J$2:$J$107,0))),"Source record missing")</f>
        <v>Stifel</v>
      </c>
      <c r="D24" s="17" t="s">
        <v>17</v>
      </c>
      <c r="E24" s="17" t="s">
        <v>64</v>
      </c>
      <c r="F24" s="17" t="str">
        <f aca="false">IFERROR(IF(INDEX('Covenant Tests'!$D$2:$D$107,MATCH($I24,'Covenant Tests'!$J$2:$J$107,0))="","",INDEX('Covenant Tests'!$D$2:$D$107,MATCH($I24,'Covenant Tests'!$J$2:$J$107,0))),"Source record missing")</f>
        <v>1.10x</v>
      </c>
      <c r="G24" s="17" t="s">
        <v>27</v>
      </c>
      <c r="H24" s="17" t="str">
        <f aca="false">IFERROR(IF(INDEX('Covenant Tests'!$I$2:$I$107,MATCH($I24,'Covenant Tests'!$J$2:$J$107,0))="","",INDEX('Covenant Tests'!$I$2:$I$107,MATCH($I24,'Covenant Tests'!$J$2:$J$107,0))),"Source record missing")</f>
        <v>Loan Agreement Article 11, Debt Service Coverage Ratio</v>
      </c>
      <c r="I24" s="17" t="s">
        <v>69</v>
      </c>
    </row>
    <row r="25" customFormat="false" ht="19.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19.5" hidden="false" customHeight="tru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19.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19.5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9.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19.5" hidden="false" customHeight="tru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9.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19.5" hidden="false" customHeight="tru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19.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19.5" hidden="false" customHeight="tru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19.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19.5" hidden="false" customHeight="tru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19.5" hidden="false" customHeight="tru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19.5" hidden="false" customHeight="true" outlineLevel="0" collapsed="false">
      <c r="A38" s="5"/>
      <c r="B38" s="5"/>
      <c r="C38" s="5"/>
      <c r="D38" s="5"/>
      <c r="E38" s="5"/>
      <c r="F38" s="5"/>
      <c r="G38" s="5"/>
      <c r="H38" s="5"/>
    </row>
    <row r="39" customFormat="false" ht="19.5" hidden="false" customHeight="tru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19.5" hidden="false" customHeight="true" outlineLevel="0" collapsed="false">
      <c r="A40" s="5"/>
      <c r="B40" s="5"/>
      <c r="C40" s="5"/>
      <c r="D40" s="5"/>
      <c r="E40" s="5"/>
      <c r="F40" s="5"/>
      <c r="G40" s="5"/>
      <c r="H40" s="5"/>
    </row>
    <row r="41" customFormat="false" ht="19.5" hidden="false" customHeight="tru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19.5" hidden="false" customHeight="tru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19.5" hidden="false" customHeight="tru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19.5" hidden="false" customHeight="true" outlineLevel="0" collapsed="false">
      <c r="A44" s="5"/>
      <c r="B44" s="5"/>
      <c r="C44" s="5"/>
      <c r="D44" s="5"/>
      <c r="E44" s="5"/>
      <c r="F44" s="5"/>
      <c r="G44" s="5"/>
      <c r="H44" s="5"/>
    </row>
    <row r="45" customFormat="false" ht="19.5" hidden="false" customHeight="true" outlineLevel="0" collapsed="false">
      <c r="A45" s="5"/>
      <c r="B45" s="5"/>
      <c r="C45" s="5"/>
      <c r="D45" s="5"/>
      <c r="E45" s="5"/>
      <c r="F45" s="5"/>
      <c r="G45" s="5"/>
      <c r="H45" s="5"/>
    </row>
    <row r="46" customFormat="false" ht="19.5" hidden="false" customHeight="true" outlineLevel="0" collapsed="false">
      <c r="A46" s="5"/>
      <c r="B46" s="5"/>
      <c r="C46" s="5"/>
      <c r="D46" s="5"/>
      <c r="E46" s="5"/>
      <c r="F46" s="5"/>
      <c r="G46" s="5"/>
      <c r="H46" s="5"/>
    </row>
    <row r="47" customFormat="false" ht="19.5" hidden="false" customHeight="true" outlineLevel="0" collapsed="false">
      <c r="A47" s="5"/>
      <c r="B47" s="5"/>
      <c r="C47" s="5"/>
      <c r="D47" s="5"/>
      <c r="E47" s="5"/>
      <c r="F47" s="5"/>
      <c r="G47" s="5"/>
      <c r="H47" s="5"/>
    </row>
    <row r="48" customFormat="false" ht="19.5" hidden="false" customHeight="true" outlineLevel="0" collapsed="false">
      <c r="A48" s="5"/>
      <c r="B48" s="5"/>
      <c r="C48" s="5"/>
      <c r="D48" s="5"/>
      <c r="E48" s="5"/>
      <c r="F48" s="5"/>
      <c r="G48" s="5"/>
      <c r="H48" s="5"/>
    </row>
    <row r="49" customFormat="false" ht="30" hidden="false" customHeight="true" outlineLevel="0" collapsed="false">
      <c r="A49" s="5"/>
      <c r="B49" s="5"/>
      <c r="C49" s="5"/>
      <c r="D49" s="5"/>
      <c r="E49" s="5"/>
      <c r="F49" s="5"/>
      <c r="G49" s="5"/>
      <c r="H49" s="5"/>
    </row>
  </sheetData>
  <autoFilter ref="A4:I24"/>
  <mergeCells count="3">
    <mergeCell ref="A1:H1"/>
    <mergeCell ref="A2:H2"/>
    <mergeCell ref="A3:B3"/>
  </mergeCells>
  <conditionalFormatting sqref="A5:H45">
    <cfRule type="expression" priority="2" aboveAverage="0" equalAverage="0" bottom="0" percent="0" rank="0" text="" dxfId="6">
      <formula>$D5="Maturity"</formula>
    </cfRule>
  </conditionalFormatting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&amp;L2027 Calendar&amp;CPage &amp;P of &amp;N</oddFooter>
  </headerFooter>
  <rowBreaks count="1" manualBreakCount="1">
    <brk id="47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5" activeCellId="0" sqref="B5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2.71"/>
    <col collapsed="false" customWidth="true" hidden="true" outlineLevel="1" max="2" min="2" style="0" width="18.71"/>
    <col collapsed="false" customWidth="true" hidden="false" outlineLevel="0" max="3" min="3" style="0" width="16.71"/>
    <col collapsed="false" customWidth="true" hidden="false" outlineLevel="0" max="4" min="4" style="0" width="30.71"/>
    <col collapsed="false" customWidth="true" hidden="false" outlineLevel="0" max="5" min="5" style="0" width="38.71"/>
    <col collapsed="false" customWidth="true" hidden="false" outlineLevel="0" max="6" min="6" style="0" width="33.71"/>
    <col collapsed="false" customWidth="true" hidden="true" outlineLevel="1" max="7" min="7" style="0" width="30.71"/>
    <col collapsed="false" customWidth="true" hidden="true" outlineLevel="0" max="8" min="8" style="0" width="11.53"/>
  </cols>
  <sheetData>
    <row r="1" customFormat="false" ht="27" hidden="false" customHeight="true" outlineLevel="0" collapsed="false">
      <c r="A1" s="1" t="s">
        <v>70</v>
      </c>
      <c r="B1" s="1"/>
      <c r="C1" s="1"/>
      <c r="D1" s="1"/>
      <c r="E1" s="1"/>
      <c r="F1" s="1"/>
      <c r="G1" s="1"/>
    </row>
    <row r="2" customFormat="false" ht="33" hidden="false" customHeight="true" outlineLevel="0" collapsed="false">
      <c r="A2" s="2" t="s">
        <v>71</v>
      </c>
      <c r="B2" s="2"/>
      <c r="C2" s="2"/>
      <c r="D2" s="2"/>
      <c r="E2" s="2"/>
      <c r="F2" s="2"/>
      <c r="G2" s="2"/>
    </row>
    <row r="3" customFormat="false" ht="22.5" hidden="false" customHeight="true" outlineLevel="0" collapsed="false">
      <c r="A3" s="3" t="str">
        <f aca="false">HYPERLINK("#'Summary'!A1","Back to Summary")</f>
        <v>Back to Summary</v>
      </c>
      <c r="B3" s="5"/>
      <c r="C3" s="5"/>
      <c r="D3" s="5"/>
      <c r="E3" s="5"/>
      <c r="F3" s="5"/>
      <c r="G3" s="5"/>
      <c r="H3" s="5"/>
    </row>
    <row r="4" customFormat="false" ht="31.5" hidden="false" customHeight="true" outlineLevel="0" collapsed="false">
      <c r="A4" s="6" t="s">
        <v>8</v>
      </c>
      <c r="B4" s="6" t="s">
        <v>9</v>
      </c>
      <c r="C4" s="6" t="s">
        <v>72</v>
      </c>
      <c r="D4" s="6" t="s">
        <v>17</v>
      </c>
      <c r="E4" s="6" t="s">
        <v>18</v>
      </c>
      <c r="F4" s="6" t="s">
        <v>73</v>
      </c>
      <c r="G4" s="6" t="s">
        <v>20</v>
      </c>
      <c r="H4" s="18" t="s">
        <v>21</v>
      </c>
    </row>
    <row r="5" customFormat="false" ht="46.5" hidden="false" customHeight="true" outlineLevel="0" collapsed="false">
      <c r="A5" s="5" t="str">
        <f aca="false">IFERROR(IF(INDEX('Covenant Tests'!$A$2:$A$107,MATCH($H5,'Covenant Tests'!$J$2:$J$107,0))="","",INDEX('Covenant Tests'!$A$2:$A$107,MATCH($H5,'Covenant Tests'!$J$2:$J$107,0))),"Source record missing")</f>
        <v>Dove Valley</v>
      </c>
      <c r="B5" s="5" t="str">
        <f aca="false">IFERROR(IF(INDEX('Covenant Tests'!$B$2:$B$107,MATCH($H5,'Covenant Tests'!$J$2:$J$107,0))="","",INDEX('Covenant Tests'!$B$2:$B$107,MATCH($H5,'Covenant Tests'!$J$2:$J$107,0))),"Source record missing")</f>
        <v>Nationwide</v>
      </c>
      <c r="C5" s="5" t="str">
        <f aca="false">IFERROR(IF(INDEX('Covenant Tests'!$E$2:$E$107,MATCH($H5,'Covenant Tests'!$J$2:$J$107,0))="","",INDEX('Covenant Tests'!$E$2:$E$107,MATCH($H5,'Covenant Tests'!$J$2:$J$107,0))),"Source record missing")</f>
        <v>Ongoing</v>
      </c>
      <c r="D5" s="19" t="str">
        <f aca="false">HYPERLINK("#'Covenant Tests'!A"&amp;(MATCH($H5,'Covenant Tests'!$J$2:$J$107,0)+1),INDEX('Covenant Tests'!$C$2:$C$107,MATCH($H5,'Covenant Tests'!$J$2:$J$107,0)))</f>
        <v>Cash sweep and distribution block</v>
      </c>
      <c r="E5" s="5" t="str">
        <f aca="false">IFERROR(IF(INDEX('Covenant Tests'!$D$2:$D$107,MATCH($H5,'Covenant Tests'!$J$2:$J$107,0))="","",INDEX('Covenant Tests'!$D$2:$D$107,MATCH($H5,'Covenant Tests'!$J$2:$J$107,0))),"Source record missing")</f>
        <v>Until final completion, DSCR 1.00x on trailing 3 months and capitalized interest repaid</v>
      </c>
      <c r="F5" s="5" t="str">
        <f aca="false">IFERROR(IF(INDEX('Covenant Tests'!$G$2:$G$107,MATCH($H5,'Covenant Tests'!$J$2:$J$107,0))="","",INDEX('Covenant Tests'!$G$2:$G$107,MATCH($H5,'Covenant Tests'!$J$2:$J$107,0))),"Source record missing")</f>
        <v>Ongoing; monthly</v>
      </c>
      <c r="G5" s="5" t="str">
        <f aca="false">IFERROR(IF(INDEX('Covenant Tests'!$I$2:$I$107,MATCH($H5,'Covenant Tests'!$J$2:$J$107,0))="","",INDEX('Covenant Tests'!$I$2:$I$107,MATCH($H5,'Covenant Tests'!$J$2:$J$107,0))),"Source record missing")</f>
        <v>Loan Agreement 3.5, 7.14</v>
      </c>
      <c r="H5" s="18" t="s">
        <v>74</v>
      </c>
    </row>
    <row r="6" customFormat="false" ht="33" hidden="false" customHeight="true" outlineLevel="0" collapsed="false">
      <c r="A6" s="5" t="str">
        <f aca="false">IFERROR(IF(INDEX('Covenant Tests'!$A$2:$A$107,MATCH($H6,'Covenant Tests'!$J$2:$J$107,0))="","",INDEX('Covenant Tests'!$A$2:$A$107,MATCH($H6,'Covenant Tests'!$J$2:$J$107,0))),"Source record missing")</f>
        <v>Dove Valley</v>
      </c>
      <c r="B6" s="5" t="str">
        <f aca="false">IFERROR(IF(INDEX('Covenant Tests'!$B$2:$B$107,MATCH($H6,'Covenant Tests'!$J$2:$J$107,0))="","",INDEX('Covenant Tests'!$B$2:$B$107,MATCH($H6,'Covenant Tests'!$J$2:$J$107,0))),"Source record missing")</f>
        <v>Nationwide</v>
      </c>
      <c r="C6" s="5" t="str">
        <f aca="false">IFERROR(IF(INDEX('Covenant Tests'!$E$2:$E$107,MATCH($H6,'Covenant Tests'!$J$2:$J$107,0))="","",INDEX('Covenant Tests'!$E$2:$E$107,MATCH($H6,'Covenant Tests'!$J$2:$J$107,0))),"Source record missing")</f>
        <v>Event-driven</v>
      </c>
      <c r="D6" s="19" t="str">
        <f aca="false">HYPERLINK("#'Covenant Tests'!A"&amp;(MATCH($H6,'Covenant Tests'!$J$2:$J$107,0)+1),INDEX('Covenant Tests'!$C$2:$C$107,MATCH($H6,'Covenant Tests'!$J$2:$J$107,0)))</f>
        <v>Interest reserve top-up</v>
      </c>
      <c r="E6" s="5" t="str">
        <f aca="false">IFERROR(IF(INDEX('Covenant Tests'!$D$2:$D$107,MATCH($H6,'Covenant Tests'!$J$2:$J$107,0))="","",INDEX('Covenant Tests'!$D$2:$D$107,MATCH($H6,'Covenant Tests'!$J$2:$J$107,0))),"Source record missing")</f>
        <v>Reserve short of projected current pay interest, or loan to cost at 70%</v>
      </c>
      <c r="F6" s="5" t="str">
        <f aca="false">IFERROR(IF(INDEX('Covenant Tests'!$G$2:$G$107,MATCH($H6,'Covenant Tests'!$J$2:$J$107,0))="","",INDEX('Covenant Tests'!$G$2:$G$107,MATCH($H6,'Covenant Tests'!$J$2:$J$107,0))),"Source record missing")</f>
        <v>On lender notice</v>
      </c>
      <c r="G6" s="5" t="str">
        <f aca="false">IFERROR(IF(INDEX('Covenant Tests'!$I$2:$I$107,MATCH($H6,'Covenant Tests'!$J$2:$J$107,0))="","",INDEX('Covenant Tests'!$I$2:$I$107,MATCH($H6,'Covenant Tests'!$J$2:$J$107,0))),"Source record missing")</f>
        <v>Loan Agreement 3.4(d)</v>
      </c>
      <c r="H6" s="18" t="s">
        <v>75</v>
      </c>
    </row>
    <row r="7" customFormat="false" ht="46.5" hidden="false" customHeight="true" outlineLevel="0" collapsed="false">
      <c r="A7" s="5" t="str">
        <f aca="false">IFERROR(IF(INDEX('Covenant Tests'!$A$2:$A$107,MATCH($H7,'Covenant Tests'!$J$2:$J$107,0))="","",INDEX('Covenant Tests'!$A$2:$A$107,MATCH($H7,'Covenant Tests'!$J$2:$J$107,0))),"Source record missing")</f>
        <v>Spectrum Loop</v>
      </c>
      <c r="B7" s="5" t="str">
        <f aca="false">IFERROR(IF(INDEX('Covenant Tests'!$B$2:$B$107,MATCH($H7,'Covenant Tests'!$J$2:$J$107,0))="","",INDEX('Covenant Tests'!$B$2:$B$107,MATCH($H7,'Covenant Tests'!$J$2:$J$107,0))),"Source record missing")</f>
        <v>Nationwide</v>
      </c>
      <c r="C7" s="5" t="str">
        <f aca="false">IFERROR(IF(INDEX('Covenant Tests'!$E$2:$E$107,MATCH($H7,'Covenant Tests'!$J$2:$J$107,0))="","",INDEX('Covenant Tests'!$E$2:$E$107,MATCH($H7,'Covenant Tests'!$J$2:$J$107,0))),"Source record missing")</f>
        <v>Ongoing</v>
      </c>
      <c r="D7" s="19" t="str">
        <f aca="false">HYPERLINK("#'Covenant Tests'!A"&amp;(MATCH($H7,'Covenant Tests'!$J$2:$J$107,0)+1),INDEX('Covenant Tests'!$C$2:$C$107,MATCH($H7,'Covenant Tests'!$J$2:$J$107,0)))</f>
        <v>Cash sweep and distribution block</v>
      </c>
      <c r="E7" s="5" t="str">
        <f aca="false">IFERROR(IF(INDEX('Covenant Tests'!$D$2:$D$107,MATCH($H7,'Covenant Tests'!$J$2:$J$107,0))="","",INDEX('Covenant Tests'!$D$2:$D$107,MATCH($H7,'Covenant Tests'!$J$2:$J$107,0))),"Source record missing")</f>
        <v>Until final completion, DSCR 1.00x on trailing 3 months and capitalized interest repaid</v>
      </c>
      <c r="F7" s="5" t="str">
        <f aca="false">IFERROR(IF(INDEX('Covenant Tests'!$G$2:$G$107,MATCH($H7,'Covenant Tests'!$J$2:$J$107,0))="","",INDEX('Covenant Tests'!$G$2:$G$107,MATCH($H7,'Covenant Tests'!$J$2:$J$107,0))),"Source record missing")</f>
        <v>Ongoing; monthly</v>
      </c>
      <c r="G7" s="5" t="str">
        <f aca="false">IFERROR(IF(INDEX('Covenant Tests'!$I$2:$I$107,MATCH($H7,'Covenant Tests'!$J$2:$J$107,0))="","",INDEX('Covenant Tests'!$I$2:$I$107,MATCH($H7,'Covenant Tests'!$J$2:$J$107,0))),"Source record missing")</f>
        <v>Loan Agreement 3.5, 7.14</v>
      </c>
      <c r="H7" s="18" t="s">
        <v>76</v>
      </c>
    </row>
    <row r="8" customFormat="false" ht="33" hidden="false" customHeight="true" outlineLevel="0" collapsed="false">
      <c r="A8" s="5" t="str">
        <f aca="false">IFERROR(IF(INDEX('Covenant Tests'!$A$2:$A$107,MATCH($H8,'Covenant Tests'!$J$2:$J$107,0))="","",INDEX('Covenant Tests'!$A$2:$A$107,MATCH($H8,'Covenant Tests'!$J$2:$J$107,0))),"Source record missing")</f>
        <v>Spectrum Loop</v>
      </c>
      <c r="B8" s="5" t="str">
        <f aca="false">IFERROR(IF(INDEX('Covenant Tests'!$B$2:$B$107,MATCH($H8,'Covenant Tests'!$J$2:$J$107,0))="","",INDEX('Covenant Tests'!$B$2:$B$107,MATCH($H8,'Covenant Tests'!$J$2:$J$107,0))),"Source record missing")</f>
        <v>Nationwide</v>
      </c>
      <c r="C8" s="5" t="str">
        <f aca="false">IFERROR(IF(INDEX('Covenant Tests'!$E$2:$E$107,MATCH($H8,'Covenant Tests'!$J$2:$J$107,0))="","",INDEX('Covenant Tests'!$E$2:$E$107,MATCH($H8,'Covenant Tests'!$J$2:$J$107,0))),"Source record missing")</f>
        <v>Event-driven</v>
      </c>
      <c r="D8" s="19" t="str">
        <f aca="false">HYPERLINK("#'Covenant Tests'!A"&amp;(MATCH($H8,'Covenant Tests'!$J$2:$J$107,0)+1),INDEX('Covenant Tests'!$C$2:$C$107,MATCH($H8,'Covenant Tests'!$J$2:$J$107,0)))</f>
        <v>Interest reserve top-up</v>
      </c>
      <c r="E8" s="5" t="str">
        <f aca="false">IFERROR(IF(INDEX('Covenant Tests'!$D$2:$D$107,MATCH($H8,'Covenant Tests'!$J$2:$J$107,0))="","",INDEX('Covenant Tests'!$D$2:$D$107,MATCH($H8,'Covenant Tests'!$J$2:$J$107,0))),"Source record missing")</f>
        <v>Reserve short of projected current pay interest, or loan to cost at 70%</v>
      </c>
      <c r="F8" s="5" t="str">
        <f aca="false">IFERROR(IF(INDEX('Covenant Tests'!$G$2:$G$107,MATCH($H8,'Covenant Tests'!$J$2:$J$107,0))="","",INDEX('Covenant Tests'!$G$2:$G$107,MATCH($H8,'Covenant Tests'!$J$2:$J$107,0))),"Source record missing")</f>
        <v>On lender notice</v>
      </c>
      <c r="G8" s="5" t="str">
        <f aca="false">IFERROR(IF(INDEX('Covenant Tests'!$I$2:$I$107,MATCH($H8,'Covenant Tests'!$J$2:$J$107,0))="","",INDEX('Covenant Tests'!$I$2:$I$107,MATCH($H8,'Covenant Tests'!$J$2:$J$107,0))),"Source record missing")</f>
        <v>Loan Agreement 3.4(d)</v>
      </c>
      <c r="H8" s="18" t="s">
        <v>77</v>
      </c>
    </row>
    <row r="9" customFormat="false" ht="33" hidden="false" customHeight="true" outlineLevel="0" collapsed="false">
      <c r="A9" s="5" t="str">
        <f aca="false">IFERROR(IF(INDEX('Covenant Tests'!$A$2:$A$107,MATCH($H9,'Covenant Tests'!$J$2:$J$107,0))="","",INDEX('Covenant Tests'!$A$2:$A$107,MATCH($H9,'Covenant Tests'!$J$2:$J$107,0))),"Source record missing")</f>
        <v>Fort Collins Vine</v>
      </c>
      <c r="B9" s="5" t="str">
        <f aca="false">IFERROR(IF(INDEX('Covenant Tests'!$B$2:$B$107,MATCH($H9,'Covenant Tests'!$J$2:$J$107,0))="","",INDEX('Covenant Tests'!$B$2:$B$107,MATCH($H9,'Covenant Tests'!$J$2:$J$107,0))),"Source record missing")</f>
        <v>Western-Southern</v>
      </c>
      <c r="C9" s="5" t="str">
        <f aca="false">IFERROR(IF(INDEX('Covenant Tests'!$E$2:$E$107,MATCH($H9,'Covenant Tests'!$J$2:$J$107,0))="","",INDEX('Covenant Tests'!$E$2:$E$107,MATCH($H9,'Covenant Tests'!$J$2:$J$107,0))),"Source record missing")</f>
        <v>Ongoing</v>
      </c>
      <c r="D9" s="19" t="str">
        <f aca="false">HYPERLINK("#'Covenant Tests'!A"&amp;(MATCH($H9,'Covenant Tests'!$J$2:$J$107,0)+1),INDEX('Covenant Tests'!$C$2:$C$107,MATCH($H9,'Covenant Tests'!$J$2:$J$107,0)))</f>
        <v>Stabilization: NOI</v>
      </c>
      <c r="E9" s="5" t="str">
        <f aca="false">IFERROR(IF(INDEX('Covenant Tests'!$D$2:$D$107,MATCH($H9,'Covenant Tests'!$J$2:$J$107,0))="","",INDEX('Covenant Tests'!$D$2:$D$107,MATCH($H9,'Covenant Tests'!$J$2:$J$107,0))),"Source record missing")</f>
        <v>$6,775,000 annualized for three straight months</v>
      </c>
      <c r="F9" s="5" t="str">
        <f aca="false">IFERROR(IF(INDEX('Covenant Tests'!$G$2:$G$107,MATCH($H9,'Covenant Tests'!$J$2:$J$107,0))="","",INDEX('Covenant Tests'!$G$2:$G$107,MATCH($H9,'Covenant Tests'!$J$2:$J$107,0))),"Source record missing")</f>
        <v>Ongoing; until met, by June 2028</v>
      </c>
      <c r="G9" s="5" t="str">
        <f aca="false">IFERROR(IF(INDEX('Covenant Tests'!$I$2:$I$107,MATCH($H9,'Covenant Tests'!$J$2:$J$107,0))="","",INDEX('Covenant Tests'!$I$2:$I$107,MATCH($H9,'Covenant Tests'!$J$2:$J$107,0))),"Source record missing")</f>
        <v>Stabilization Guaranty; Note 5.6</v>
      </c>
      <c r="H9" s="18" t="s">
        <v>78</v>
      </c>
    </row>
    <row r="10" customFormat="false" ht="33" hidden="false" customHeight="true" outlineLevel="0" collapsed="false">
      <c r="A10" s="5" t="str">
        <f aca="false">IFERROR(IF(INDEX('Covenant Tests'!$A$2:$A$107,MATCH($H10,'Covenant Tests'!$J$2:$J$107,0))="","",INDEX('Covenant Tests'!$A$2:$A$107,MATCH($H10,'Covenant Tests'!$J$2:$J$107,0))),"Source record missing")</f>
        <v>Ellenton</v>
      </c>
      <c r="B10" s="5" t="str">
        <f aca="false">IFERROR(IF(INDEX('Covenant Tests'!$B$2:$B$107,MATCH($H10,'Covenant Tests'!$J$2:$J$107,0))="","",INDEX('Covenant Tests'!$B$2:$B$107,MATCH($H10,'Covenant Tests'!$J$2:$J$107,0))),"Source record missing")</f>
        <v>Kayne Anderson</v>
      </c>
      <c r="C10" s="5" t="str">
        <f aca="false">IFERROR(IF(INDEX('Covenant Tests'!$E$2:$E$107,MATCH($H10,'Covenant Tests'!$J$2:$J$107,0))="","",INDEX('Covenant Tests'!$E$2:$E$107,MATCH($H10,'Covenant Tests'!$J$2:$J$107,0))),"Source record missing")</f>
        <v>Event-driven</v>
      </c>
      <c r="D10" s="19" t="str">
        <f aca="false">HYPERLINK("#'Covenant Tests'!A"&amp;(MATCH($H10,'Covenant Tests'!$J$2:$J$107,0)+1),INDEX('Covenant Tests'!$C$2:$C$107,MATCH($H10,'Covenant Tests'!$J$2:$J$107,0)))</f>
        <v>Interest reserve replenishment</v>
      </c>
      <c r="E10" s="5" t="str">
        <f aca="false">IFERROR(IF(INDEX('Covenant Tests'!$D$2:$D$107,MATCH($H10,'Covenant Tests'!$J$2:$J$107,0))="","",INDEX('Covenant Tests'!$D$2:$D$107,MATCH($H10,'Covenant Tests'!$J$2:$J$107,0))),"Source record missing")</f>
        <v>Lesser of the deficiency or the amount to reach 1.0x Implied DSCR</v>
      </c>
      <c r="F10" s="5" t="str">
        <f aca="false">IFERROR(IF(INDEX('Covenant Tests'!$G$2:$G$107,MATCH($H10,'Covenant Tests'!$J$2:$J$107,0))="","",INDEX('Covenant Tests'!$G$2:$G$107,MATCH($H10,'Covenant Tests'!$J$2:$J$107,0))),"Source record missing")</f>
        <v>On lender notice</v>
      </c>
      <c r="G10" s="5" t="str">
        <f aca="false">IFERROR(IF(INDEX('Covenant Tests'!$I$2:$I$107,MATCH($H10,'Covenant Tests'!$J$2:$J$107,0))="","",INDEX('Covenant Tests'!$I$2:$I$107,MATCH($H10,'Covenant Tests'!$J$2:$J$107,0))),"Source record missing")</f>
        <v>Loan Agreement 6.1(b)</v>
      </c>
      <c r="H10" s="18" t="s">
        <v>79</v>
      </c>
    </row>
    <row r="11" customFormat="false" ht="33" hidden="false" customHeight="true" outlineLevel="0" collapsed="false">
      <c r="A11" s="5" t="str">
        <f aca="false">IFERROR(IF(INDEX('Covenant Tests'!$A$2:$A$107,MATCH($H11,'Covenant Tests'!$J$2:$J$107,0))="","",INDEX('Covenant Tests'!$A$2:$A$107,MATCH($H11,'Covenant Tests'!$J$2:$J$107,0))),"Source record missing")</f>
        <v>Panama City Beach</v>
      </c>
      <c r="B11" s="5" t="str">
        <f aca="false">IFERROR(IF(INDEX('Covenant Tests'!$B$2:$B$107,MATCH($H11,'Covenant Tests'!$J$2:$J$107,0))="","",INDEX('Covenant Tests'!$B$2:$B$107,MATCH($H11,'Covenant Tests'!$J$2:$J$107,0))),"Source record missing")</f>
        <v>Merchants Bank of Indiana</v>
      </c>
      <c r="C11" s="5" t="str">
        <f aca="false">IFERROR(IF(INDEX('Covenant Tests'!$E$2:$E$107,MATCH($H11,'Covenant Tests'!$J$2:$J$107,0))="","",INDEX('Covenant Tests'!$E$2:$E$107,MATCH($H11,'Covenant Tests'!$J$2:$J$107,0))),"Source record missing")</f>
        <v>Ongoing</v>
      </c>
      <c r="D11" s="19" t="str">
        <f aca="false">HYPERLINK("#'Covenant Tests'!A"&amp;(MATCH($H11,'Covenant Tests'!$J$2:$J$107,0)+1),INDEX('Covenant Tests'!$C$2:$C$107,MATCH($H11,'Covenant Tests'!$J$2:$J$107,0)))</f>
        <v>Rent collection escrow release</v>
      </c>
      <c r="E11" s="5" t="str">
        <f aca="false">IFERROR(IF(INDEX('Covenant Tests'!$D$2:$D$107,MATCH($H11,'Covenant Tests'!$J$2:$J$107,0))="","",INDEX('Covenant Tests'!$D$2:$D$107,MATCH($H11,'Covenant Tests'!$J$2:$J$107,0))),"Source record missing")</f>
        <v>DSCR 1.20x and $509,914 monthly rent collections, 3 straight months</v>
      </c>
      <c r="F11" s="5" t="str">
        <f aca="false">IFERROR(IF(INDEX('Covenant Tests'!$G$2:$G$107,MATCH($H11,'Covenant Tests'!$J$2:$J$107,0))="","",INDEX('Covenant Tests'!$G$2:$G$107,MATCH($H11,'Covenant Tests'!$J$2:$J$107,0))),"Source record missing")</f>
        <v>Ongoing; until released</v>
      </c>
      <c r="G11" s="5" t="str">
        <f aca="false">IFERROR(IF(INDEX('Covenant Tests'!$I$2:$I$107,MATCH($H11,'Covenant Tests'!$J$2:$J$107,0))="","",INDEX('Covenant Tests'!$I$2:$I$107,MATCH($H11,'Covenant Tests'!$J$2:$J$107,0))),"Source record missing")</f>
        <v>Loan Agreement 6.2</v>
      </c>
      <c r="H11" s="18" t="s">
        <v>80</v>
      </c>
    </row>
    <row r="12" customFormat="false" ht="33" hidden="false" customHeight="true" outlineLevel="0" collapsed="false">
      <c r="A12" s="5" t="str">
        <f aca="false">IFERROR(IF(INDEX('Covenant Tests'!$A$2:$A$107,MATCH($H12,'Covenant Tests'!$J$2:$J$107,0))="","",INDEX('Covenant Tests'!$A$2:$A$107,MATCH($H12,'Covenant Tests'!$J$2:$J$107,0))),"Source record missing")</f>
        <v>Port St Lucie</v>
      </c>
      <c r="B12" s="5" t="str">
        <f aca="false">IFERROR(IF(INDEX('Covenant Tests'!$B$2:$B$107,MATCH($H12,'Covenant Tests'!$J$2:$J$107,0))="","",INDEX('Covenant Tests'!$B$2:$B$107,MATCH($H12,'Covenant Tests'!$J$2:$J$107,0))),"Source record missing")</f>
        <v>Blackstone / FGL</v>
      </c>
      <c r="C12" s="5" t="str">
        <f aca="false">IFERROR(IF(INDEX('Covenant Tests'!$E$2:$E$107,MATCH($H12,'Covenant Tests'!$J$2:$J$107,0))="","",INDEX('Covenant Tests'!$E$2:$E$107,MATCH($H12,'Covenant Tests'!$J$2:$J$107,0))),"Source record missing")</f>
        <v>Ongoing</v>
      </c>
      <c r="D12" s="19" t="str">
        <f aca="false">HYPERLINK("#'Covenant Tests'!A"&amp;(MATCH($H12,'Covenant Tests'!$J$2:$J$107,0)+1),INDEX('Covenant Tests'!$C$2:$C$107,MATCH($H12,'Covenant Tests'!$J$2:$J$107,0)))</f>
        <v>Cash trap since closing</v>
      </c>
      <c r="E12" s="5" t="str">
        <f aca="false">IFERROR(IF(INDEX('Covenant Tests'!$D$2:$D$107,MATCH($H12,'Covenant Tests'!$J$2:$J$107,0))="","",INDEX('Covenant Tests'!$D$2:$D$107,MATCH($H12,'Covenant Tests'!$J$2:$J$107,0))),"Source record missing")</f>
        <v>Released at NOI of $3,000,000 annualized for three straight months</v>
      </c>
      <c r="F12" s="5" t="str">
        <f aca="false">IFERROR(IF(INDEX('Covenant Tests'!$G$2:$G$107,MATCH($H12,'Covenant Tests'!$J$2:$J$107,0))="","",INDEX('Covenant Tests'!$G$2:$G$107,MATCH($H12,'Covenant Tests'!$J$2:$J$107,0))),"Source record missing")</f>
        <v>Ongoing; until cured</v>
      </c>
      <c r="G12" s="5" t="str">
        <f aca="false">IFERROR(IF(INDEX('Covenant Tests'!$I$2:$I$107,MATCH($H12,'Covenant Tests'!$J$2:$J$107,0))="","",INDEX('Covenant Tests'!$I$2:$I$107,MATCH($H12,'Covenant Tests'!$J$2:$J$107,0))),"Source record missing")</f>
        <v>Loan Agreement 1.1, Cash Trap Event</v>
      </c>
      <c r="H12" s="18" t="s">
        <v>81</v>
      </c>
    </row>
    <row r="13" customFormat="false" ht="33" hidden="false" customHeight="true" outlineLevel="0" collapsed="false">
      <c r="A13" s="5" t="str">
        <f aca="false">IFERROR(IF(INDEX('Covenant Tests'!$A$2:$A$107,MATCH($H13,'Covenant Tests'!$J$2:$J$107,0))="","",INDEX('Covenant Tests'!$A$2:$A$107,MATCH($H13,'Covenant Tests'!$J$2:$J$107,0))),"Source record missing")</f>
        <v>Port St Lucie</v>
      </c>
      <c r="B13" s="5" t="str">
        <f aca="false">IFERROR(IF(INDEX('Covenant Tests'!$B$2:$B$107,MATCH($H13,'Covenant Tests'!$J$2:$J$107,0))="","",INDEX('Covenant Tests'!$B$2:$B$107,MATCH($H13,'Covenant Tests'!$J$2:$J$107,0))),"Source record missing")</f>
        <v>Blackstone / FGL</v>
      </c>
      <c r="C13" s="5" t="str">
        <f aca="false">IFERROR(IF(INDEX('Covenant Tests'!$E$2:$E$107,MATCH($H13,'Covenant Tests'!$J$2:$J$107,0))="","",INDEX('Covenant Tests'!$E$2:$E$107,MATCH($H13,'Covenant Tests'!$J$2:$J$107,0))),"Source record missing")</f>
        <v>Ongoing</v>
      </c>
      <c r="D13" s="19" t="str">
        <f aca="false">HYPERLINK("#'Covenant Tests'!A"&amp;(MATCH($H13,'Covenant Tests'!$J$2:$J$107,0)+1),INDEX('Covenant Tests'!$C$2:$C$107,MATCH($H13,'Covenant Tests'!$J$2:$J$107,0)))</f>
        <v>Cash Collateral Reserve release</v>
      </c>
      <c r="E13" s="5" t="str">
        <f aca="false">IFERROR(IF(INDEX('Covenant Tests'!$D$2:$D$107,MATCH($H13,'Covenant Tests'!$J$2:$J$107,0))="","",INDEX('Covenant Tests'!$D$2:$D$107,MATCH($H13,'Covenant Tests'!$J$2:$J$107,0))),"Source record missing")</f>
        <v>Debt Yield 8.25% for two straight quarters</v>
      </c>
      <c r="F13" s="5" t="str">
        <f aca="false">IFERROR(IF(INDEX('Covenant Tests'!$G$2:$G$107,MATCH($H13,'Covenant Tests'!$J$2:$J$107,0))="","",INDEX('Covenant Tests'!$G$2:$G$107,MATCH($H13,'Covenant Tests'!$J$2:$J$107,0))),"Source record missing")</f>
        <v>Ongoing; until released</v>
      </c>
      <c r="G13" s="5" t="str">
        <f aca="false">IFERROR(IF(INDEX('Covenant Tests'!$I$2:$I$107,MATCH($H13,'Covenant Tests'!$J$2:$J$107,0))="","",INDEX('Covenant Tests'!$I$2:$I$107,MATCH($H13,'Covenant Tests'!$J$2:$J$107,0))),"Source record missing")</f>
        <v>Loan Agreement 7.5</v>
      </c>
      <c r="H13" s="18" t="s">
        <v>82</v>
      </c>
    </row>
    <row r="14" customFormat="false" ht="33" hidden="false" customHeight="true" outlineLevel="0" collapsed="false">
      <c r="A14" s="5" t="str">
        <f aca="false">IFERROR(IF(INDEX('Covenant Tests'!$A$2:$A$107,MATCH($H14,'Covenant Tests'!$J$2:$J$107,0))="","",INDEX('Covenant Tests'!$A$2:$A$107,MATCH($H14,'Covenant Tests'!$J$2:$J$107,0))),"Source record missing")</f>
        <v>Port St Lucie</v>
      </c>
      <c r="B14" s="5" t="str">
        <f aca="false">IFERROR(IF(INDEX('Covenant Tests'!$B$2:$B$107,MATCH($H14,'Covenant Tests'!$J$2:$J$107,0))="","",INDEX('Covenant Tests'!$B$2:$B$107,MATCH($H14,'Covenant Tests'!$J$2:$J$107,0))),"Source record missing")</f>
        <v>Blackstone / FGL</v>
      </c>
      <c r="C14" s="5" t="str">
        <f aca="false">IFERROR(IF(INDEX('Covenant Tests'!$E$2:$E$107,MATCH($H14,'Covenant Tests'!$J$2:$J$107,0))="","",INDEX('Covenant Tests'!$E$2:$E$107,MATCH($H14,'Covenant Tests'!$J$2:$J$107,0))),"Source record missing")</f>
        <v>Ongoing</v>
      </c>
      <c r="D14" s="19" t="str">
        <f aca="false">HYPERLINK("#'Covenant Tests'!A"&amp;(MATCH($H14,'Covenant Tests'!$J$2:$J$107,0)+1),INDEX('Covenant Tests'!$C$2:$C$107,MATCH($H14,'Covenant Tests'!$J$2:$J$107,0)))</f>
        <v>Additional Cash Collateral release</v>
      </c>
      <c r="E14" s="5" t="str">
        <f aca="false">IFERROR(IF(INDEX('Covenant Tests'!$D$2:$D$107,MATCH($H14,'Covenant Tests'!$J$2:$J$107,0))="","",INDEX('Covenant Tests'!$D$2:$D$107,MATCH($H14,'Covenant Tests'!$J$2:$J$107,0))),"Source record missing")</f>
        <v>NOI of $3,000,000</v>
      </c>
      <c r="F14" s="5" t="str">
        <f aca="false">IFERROR(IF(INDEX('Covenant Tests'!$G$2:$G$107,MATCH($H14,'Covenant Tests'!$J$2:$J$107,0))="","",INDEX('Covenant Tests'!$G$2:$G$107,MATCH($H14,'Covenant Tests'!$J$2:$J$107,0))),"Source record missing")</f>
        <v>Ongoing; until released</v>
      </c>
      <c r="G14" s="5" t="str">
        <f aca="false">IFERROR(IF(INDEX('Covenant Tests'!$I$2:$I$107,MATCH($H14,'Covenant Tests'!$J$2:$J$107,0))="","",INDEX('Covenant Tests'!$I$2:$I$107,MATCH($H14,'Covenant Tests'!$J$2:$J$107,0))),"Source record missing")</f>
        <v>Loan Agreement 7.5</v>
      </c>
      <c r="H14" s="18" t="s">
        <v>83</v>
      </c>
    </row>
    <row r="15" customFormat="false" ht="33" hidden="false" customHeight="true" outlineLevel="0" collapsed="false">
      <c r="A15" s="5" t="str">
        <f aca="false">IFERROR(IF(INDEX('Covenant Tests'!$A$2:$A$107,MATCH($H15,'Covenant Tests'!$J$2:$J$107,0))="","",INDEX('Covenant Tests'!$A$2:$A$107,MATCH($H15,'Covenant Tests'!$J$2:$J$107,0))),"Source record missing")</f>
        <v>St. Augustine</v>
      </c>
      <c r="B15" s="5" t="str">
        <f aca="false">IFERROR(IF(INDEX('Covenant Tests'!$B$2:$B$107,MATCH($H15,'Covenant Tests'!$J$2:$J$107,0))="","",INDEX('Covenant Tests'!$B$2:$B$107,MATCH($H15,'Covenant Tests'!$J$2:$J$107,0))),"Source record missing")</f>
        <v>Simmons</v>
      </c>
      <c r="C15" s="5" t="str">
        <f aca="false">IFERROR(IF(INDEX('Covenant Tests'!$E$2:$E$107,MATCH($H15,'Covenant Tests'!$J$2:$J$107,0))="","",INDEX('Covenant Tests'!$E$2:$E$107,MATCH($H15,'Covenant Tests'!$J$2:$J$107,0))),"Source record missing")</f>
        <v>Ongoing</v>
      </c>
      <c r="D15" s="19" t="str">
        <f aca="false">HYPERLINK("#'Covenant Tests'!A"&amp;(MATCH($H15,'Covenant Tests'!$J$2:$J$107,0)+1),INDEX('Covenant Tests'!$C$2:$C$107,MATCH($H15,'Covenant Tests'!$J$2:$J$107,0)))</f>
        <v>Cash trap before stabilization</v>
      </c>
      <c r="E15" s="5" t="str">
        <f aca="false">IFERROR(IF(INDEX('Covenant Tests'!$D$2:$D$107,MATCH($H15,'Covenant Tests'!$J$2:$J$107,0))="","",INDEX('Covenant Tests'!$D$2:$D$107,MATCH($H15,'Covenant Tests'!$J$2:$J$107,0))),"Source record missing")</f>
        <v>Released at DSCR 1.20x</v>
      </c>
      <c r="F15" s="5" t="str">
        <f aca="false">IFERROR(IF(INDEX('Covenant Tests'!$G$2:$G$107,MATCH($H15,'Covenant Tests'!$J$2:$J$107,0))="","",INDEX('Covenant Tests'!$G$2:$G$107,MATCH($H15,'Covenant Tests'!$J$2:$J$107,0))),"Source record missing")</f>
        <v>Ongoing; until Initial Stabilization</v>
      </c>
      <c r="G15" s="5" t="str">
        <f aca="false">IFERROR(IF(INDEX('Covenant Tests'!$I$2:$I$107,MATCH($H15,'Covenant Tests'!$J$2:$J$107,0))="","",INDEX('Covenant Tests'!$I$2:$I$107,MATCH($H15,'Covenant Tests'!$J$2:$J$107,0))),"Source record missing")</f>
        <v>Loan Agreement 10.21</v>
      </c>
      <c r="H15" s="18" t="s">
        <v>84</v>
      </c>
    </row>
    <row r="16" customFormat="false" ht="33" hidden="false" customHeight="true" outlineLevel="0" collapsed="false">
      <c r="A16" s="5" t="str">
        <f aca="false">IFERROR(IF(INDEX('Covenant Tests'!$A$2:$A$107,MATCH($H16,'Covenant Tests'!$J$2:$J$107,0))="","",INDEX('Covenant Tests'!$A$2:$A$107,MATCH($H16,'Covenant Tests'!$J$2:$J$107,0))),"Source record missing")</f>
        <v>St. Augustine</v>
      </c>
      <c r="B16" s="5" t="str">
        <f aca="false">IFERROR(IF(INDEX('Covenant Tests'!$B$2:$B$107,MATCH($H16,'Covenant Tests'!$J$2:$J$107,0))="","",INDEX('Covenant Tests'!$B$2:$B$107,MATCH($H16,'Covenant Tests'!$J$2:$J$107,0))),"Source record missing")</f>
        <v>Simmons</v>
      </c>
      <c r="C16" s="5" t="str">
        <f aca="false">IFERROR(IF(INDEX('Covenant Tests'!$E$2:$E$107,MATCH($H16,'Covenant Tests'!$J$2:$J$107,0))="","",INDEX('Covenant Tests'!$E$2:$E$107,MATCH($H16,'Covenant Tests'!$J$2:$J$107,0))),"Source record missing")</f>
        <v>Event-driven</v>
      </c>
      <c r="D16" s="19" t="str">
        <f aca="false">HYPERLINK("#'Covenant Tests'!A"&amp;(MATCH($H16,'Covenant Tests'!$J$2:$J$107,0)+1),INDEX('Covenant Tests'!$C$2:$C$107,MATCH($H16,'Covenant Tests'!$J$2:$J$107,0)))</f>
        <v>Cash trap after stabilization</v>
      </c>
      <c r="E16" s="5" t="str">
        <f aca="false">IFERROR(IF(INDEX('Covenant Tests'!$D$2:$D$107,MATCH($H16,'Covenant Tests'!$J$2:$J$107,0))="","",INDEX('Covenant Tests'!$D$2:$D$107,MATCH($H16,'Covenant Tests'!$J$2:$J$107,0))),"Source record missing")</f>
        <v>DSCR under 1.15x for 3 straight months</v>
      </c>
      <c r="F16" s="5" t="str">
        <f aca="false">IFERROR(IF(INDEX('Covenant Tests'!$G$2:$G$107,MATCH($H16,'Covenant Tests'!$J$2:$J$107,0))="","",INDEX('Covenant Tests'!$G$2:$G$107,MATCH($H16,'Covenant Tests'!$J$2:$J$107,0))),"Source record missing")</f>
        <v>After stabilization; monthly</v>
      </c>
      <c r="G16" s="5" t="str">
        <f aca="false">IFERROR(IF(INDEX('Covenant Tests'!$I$2:$I$107,MATCH($H16,'Covenant Tests'!$J$2:$J$107,0))="","",INDEX('Covenant Tests'!$I$2:$I$107,MATCH($H16,'Covenant Tests'!$J$2:$J$107,0))),"Source record missing")</f>
        <v>Loan Agreement 10.21</v>
      </c>
      <c r="H16" s="18" t="s">
        <v>85</v>
      </c>
    </row>
    <row r="17" customFormat="false" ht="21.75" hidden="false" customHeight="true" outlineLevel="0" collapsed="false">
      <c r="A17" s="5" t="str">
        <f aca="false">IFERROR(IF(INDEX('Covenant Tests'!$A$2:$A$107,MATCH($H17,'Covenant Tests'!$J$2:$J$107,0))="","",INDEX('Covenant Tests'!$A$2:$A$107,MATCH($H17,'Covenant Tests'!$J$2:$J$107,0))),"Source record missing")</f>
        <v>St. Augustine</v>
      </c>
      <c r="B17" s="5" t="str">
        <f aca="false">IFERROR(IF(INDEX('Covenant Tests'!$B$2:$B$107,MATCH($H17,'Covenant Tests'!$J$2:$J$107,0))="","",INDEX('Covenant Tests'!$B$2:$B$107,MATCH($H17,'Covenant Tests'!$J$2:$J$107,0))),"Source record missing")</f>
        <v>Simmons</v>
      </c>
      <c r="C17" s="5" t="str">
        <f aca="false">IFERROR(IF(INDEX('Covenant Tests'!$E$2:$E$107,MATCH($H17,'Covenant Tests'!$J$2:$J$107,0))="","",INDEX('Covenant Tests'!$E$2:$E$107,MATCH($H17,'Covenant Tests'!$J$2:$J$107,0))),"Source record missing")</f>
        <v>Ongoing</v>
      </c>
      <c r="D17" s="19" t="str">
        <f aca="false">HYPERLINK("#'Covenant Tests'!A"&amp;(MATCH($H17,'Covenant Tests'!$J$2:$J$107,0)+1),INDEX('Covenant Tests'!$C$2:$C$107,MATCH($H17,'Covenant Tests'!$J$2:$J$107,0)))</f>
        <v>Loan to cost</v>
      </c>
      <c r="E17" s="5" t="str">
        <f aca="false">IFERROR(IF(INDEX('Covenant Tests'!$D$2:$D$107,MATCH($H17,'Covenant Tests'!$J$2:$J$107,0))="","",INDEX('Covenant Tests'!$D$2:$D$107,MATCH($H17,'Covenant Tests'!$J$2:$J$107,0))),"Source record missing")</f>
        <v>57.50% of project cost</v>
      </c>
      <c r="F17" s="5" t="str">
        <f aca="false">IFERROR(IF(INDEX('Covenant Tests'!$G$2:$G$107,MATCH($H17,'Covenant Tests'!$J$2:$J$107,0))="","",INDEX('Covenant Tests'!$G$2:$G$107,MATCH($H17,'Covenant Tests'!$J$2:$J$107,0))),"Source record missing")</f>
        <v>At all times</v>
      </c>
      <c r="G17" s="5" t="str">
        <f aca="false">IFERROR(IF(INDEX('Covenant Tests'!$I$2:$I$107,MATCH($H17,'Covenant Tests'!$J$2:$J$107,0))="","",INDEX('Covenant Tests'!$I$2:$I$107,MATCH($H17,'Covenant Tests'!$J$2:$J$107,0))),"Source record missing")</f>
        <v>Loan Agreement, Loan to Cost</v>
      </c>
      <c r="H17" s="18" t="s">
        <v>86</v>
      </c>
    </row>
    <row r="18" customFormat="false" ht="33" hidden="false" customHeight="true" outlineLevel="0" collapsed="false">
      <c r="A18" s="5" t="str">
        <f aca="false">IFERROR(IF(INDEX('Covenant Tests'!$A$2:$A$107,MATCH($H18,'Covenant Tests'!$J$2:$J$107,0))="","",INDEX('Covenant Tests'!$A$2:$A$107,MATCH($H18,'Covenant Tests'!$J$2:$J$107,0))),"Source record missing")</f>
        <v>St. Augustine</v>
      </c>
      <c r="B18" s="5" t="str">
        <f aca="false">IFERROR(IF(INDEX('Covenant Tests'!$B$2:$B$107,MATCH($H18,'Covenant Tests'!$J$2:$J$107,0))="","",INDEX('Covenant Tests'!$B$2:$B$107,MATCH($H18,'Covenant Tests'!$J$2:$J$107,0))),"Source record missing")</f>
        <v>Simmons</v>
      </c>
      <c r="C18" s="5" t="str">
        <f aca="false">IFERROR(IF(INDEX('Covenant Tests'!$E$2:$E$107,MATCH($H18,'Covenant Tests'!$J$2:$J$107,0))="","",INDEX('Covenant Tests'!$E$2:$E$107,MATCH($H18,'Covenant Tests'!$J$2:$J$107,0))),"Source record missing")</f>
        <v>Ongoing</v>
      </c>
      <c r="D18" s="19" t="str">
        <f aca="false">HYPERLINK("#'Covenant Tests'!A"&amp;(MATCH($H18,'Covenant Tests'!$J$2:$J$107,0)+1),INDEX('Covenant Tests'!$C$2:$C$107,MATCH($H18,'Covenant Tests'!$J$2:$J$107,0)))</f>
        <v>Distribution block</v>
      </c>
      <c r="E18" s="5" t="str">
        <f aca="false">IFERROR(IF(INDEX('Covenant Tests'!$D$2:$D$107,MATCH($H18,'Covenant Tests'!$J$2:$J$107,0))="","",INDEX('Covenant Tests'!$D$2:$D$107,MATCH($H18,'Covenant Tests'!$J$2:$J$107,0))),"Source record missing")</f>
        <v>No distributions until the loan is repaid, except tax distributions</v>
      </c>
      <c r="F18" s="5" t="str">
        <f aca="false">IFERROR(IF(INDEX('Covenant Tests'!$G$2:$G$107,MATCH($H18,'Covenant Tests'!$J$2:$J$107,0))="","",INDEX('Covenant Tests'!$G$2:$G$107,MATCH($H18,'Covenant Tests'!$J$2:$J$107,0))),"Source record missing")</f>
        <v>At all times</v>
      </c>
      <c r="G18" s="5" t="str">
        <f aca="false">IFERROR(IF(INDEX('Covenant Tests'!$I$2:$I$107,MATCH($H18,'Covenant Tests'!$J$2:$J$107,0))="","",INDEX('Covenant Tests'!$I$2:$I$107,MATCH($H18,'Covenant Tests'!$J$2:$J$107,0))),"Source record missing")</f>
        <v>Loan Agreement, Distributions</v>
      </c>
      <c r="H18" s="18" t="s">
        <v>87</v>
      </c>
    </row>
    <row r="19" customFormat="false" ht="33" hidden="false" customHeight="true" outlineLevel="0" collapsed="false">
      <c r="A19" s="5" t="str">
        <f aca="false">IFERROR(IF(INDEX('Covenant Tests'!$A$2:$A$107,MATCH($H19,'Covenant Tests'!$J$2:$J$107,0))="","",INDEX('Covenant Tests'!$A$2:$A$107,MATCH($H19,'Covenant Tests'!$J$2:$J$107,0))),"Source record missing")</f>
        <v>Venice</v>
      </c>
      <c r="B19" s="5" t="str">
        <f aca="false">IFERROR(IF(INDEX('Covenant Tests'!$B$2:$B$107,MATCH($H19,'Covenant Tests'!$J$2:$J$107,0))="","",INDEX('Covenant Tests'!$B$2:$B$107,MATCH($H19,'Covenant Tests'!$J$2:$J$107,0))),"Source record missing")</f>
        <v>UMB</v>
      </c>
      <c r="C19" s="5" t="str">
        <f aca="false">IFERROR(IF(INDEX('Covenant Tests'!$E$2:$E$107,MATCH($H19,'Covenant Tests'!$J$2:$J$107,0))="","",INDEX('Covenant Tests'!$E$2:$E$107,MATCH($H19,'Covenant Tests'!$J$2:$J$107,0))),"Source record missing")</f>
        <v>Event-driven</v>
      </c>
      <c r="D19" s="19" t="str">
        <f aca="false">HYPERLINK("#'Covenant Tests'!A"&amp;(MATCH($H19,'Covenant Tests'!$J$2:$J$107,0)+1),INDEX('Covenant Tests'!$C$2:$C$107,MATCH($H19,'Covenant Tests'!$J$2:$J$107,0)))</f>
        <v>LTV Threshold</v>
      </c>
      <c r="E19" s="5" t="str">
        <f aca="false">IFERROR(IF(INDEX('Covenant Tests'!$D$2:$D$107,MATCH($H19,'Covenant Tests'!$J$2:$J$107,0))="","",INDEX('Covenant Tests'!$D$2:$D$107,MATCH($H19,'Covenant Tests'!$J$2:$J$107,0))),"Source record missing")</f>
        <v>80% of as-stabilized value</v>
      </c>
      <c r="F19" s="5" t="str">
        <f aca="false">IFERROR(IF(INDEX('Covenant Tests'!$G$2:$G$107,MATCH($H19,'Covenant Tests'!$J$2:$J$107,0))="","",INDEX('Covenant Tests'!$G$2:$G$107,MATCH($H19,'Covenant Tests'!$J$2:$J$107,0))),"Source record missing")</f>
        <v>On appraisal; at extension or Event of Default</v>
      </c>
      <c r="G19" s="5" t="str">
        <f aca="false">IFERROR(IF(INDEX('Covenant Tests'!$I$2:$I$107,MATCH($H19,'Covenant Tests'!$J$2:$J$107,0))="","",INDEX('Covenant Tests'!$I$2:$I$107,MATCH($H19,'Covenant Tests'!$J$2:$J$107,0))),"Source record missing")</f>
        <v>Loan Agreement 5.19</v>
      </c>
      <c r="H19" s="18" t="s">
        <v>88</v>
      </c>
    </row>
    <row r="20" customFormat="false" ht="21.75" hidden="false" customHeight="true" outlineLevel="0" collapsed="false">
      <c r="A20" s="5" t="str">
        <f aca="false">IFERROR(IF(INDEX('Covenant Tests'!$A$2:$A$107,MATCH($H20,'Covenant Tests'!$J$2:$J$107,0))="","",INDEX('Covenant Tests'!$A$2:$A$107,MATCH($H20,'Covenant Tests'!$J$2:$J$107,0))),"Source record missing")</f>
        <v>Venice</v>
      </c>
      <c r="B20" s="5" t="str">
        <f aca="false">IFERROR(IF(INDEX('Covenant Tests'!$B$2:$B$107,MATCH($H20,'Covenant Tests'!$J$2:$J$107,0))="","",INDEX('Covenant Tests'!$B$2:$B$107,MATCH($H20,'Covenant Tests'!$J$2:$J$107,0))),"Source record missing")</f>
        <v>UMB</v>
      </c>
      <c r="C20" s="5" t="str">
        <f aca="false">IFERROR(IF(INDEX('Covenant Tests'!$E$2:$E$107,MATCH($H20,'Covenant Tests'!$J$2:$J$107,0))="","",INDEX('Covenant Tests'!$E$2:$E$107,MATCH($H20,'Covenant Tests'!$J$2:$J$107,0))),"Source record missing")</f>
        <v>Ongoing</v>
      </c>
      <c r="D20" s="19" t="str">
        <f aca="false">HYPERLINK("#'Covenant Tests'!A"&amp;(MATCH($H20,'Covenant Tests'!$J$2:$J$107,0)+1),INDEX('Covenant Tests'!$C$2:$C$107,MATCH($H20,'Covenant Tests'!$J$2:$J$107,0)))</f>
        <v>Reserve Account minimum</v>
      </c>
      <c r="E20" s="5" t="str">
        <f aca="false">IFERROR(IF(INDEX('Covenant Tests'!$D$2:$D$107,MATCH($H20,'Covenant Tests'!$J$2:$J$107,0))="","",INDEX('Covenant Tests'!$D$2:$D$107,MATCH($H20,'Covenant Tests'!$J$2:$J$107,0))),"Source record missing")</f>
        <v>$1,810,000</v>
      </c>
      <c r="F20" s="5" t="str">
        <f aca="false">IFERROR(IF(INDEX('Covenant Tests'!$G$2:$G$107,MATCH($H20,'Covenant Tests'!$J$2:$J$107,0))="","",INDEX('Covenant Tests'!$G$2:$G$107,MATCH($H20,'Covenant Tests'!$J$2:$J$107,0))),"Source record missing")</f>
        <v>From closing; at all times</v>
      </c>
      <c r="G20" s="5" t="str">
        <f aca="false">IFERROR(IF(INDEX('Covenant Tests'!$I$2:$I$107,MATCH($H20,'Covenant Tests'!$J$2:$J$107,0))="","",INDEX('Covenant Tests'!$I$2:$I$107,MATCH($H20,'Covenant Tests'!$J$2:$J$107,0))),"Source record missing")</f>
        <v>Loan Agreement 5.23</v>
      </c>
      <c r="H20" s="18" t="s">
        <v>89</v>
      </c>
    </row>
    <row r="21" customFormat="false" ht="33" hidden="false" customHeight="true" outlineLevel="0" collapsed="false">
      <c r="A21" s="5" t="str">
        <f aca="false">IFERROR(IF(INDEX('Covenant Tests'!$A$2:$A$107,MATCH($H21,'Covenant Tests'!$J$2:$J$107,0))="","",INDEX('Covenant Tests'!$A$2:$A$107,MATCH($H21,'Covenant Tests'!$J$2:$J$107,0))),"Source record missing")</f>
        <v>Pooler</v>
      </c>
      <c r="B21" s="5" t="str">
        <f aca="false">IFERROR(IF(INDEX('Covenant Tests'!$B$2:$B$107,MATCH($H21,'Covenant Tests'!$J$2:$J$107,0))="","",INDEX('Covenant Tests'!$B$2:$B$107,MATCH($H21,'Covenant Tests'!$J$2:$J$107,0))),"Source record missing")</f>
        <v>Fifth Third</v>
      </c>
      <c r="C21" s="5" t="str">
        <f aca="false">IFERROR(IF(INDEX('Covenant Tests'!$E$2:$E$107,MATCH($H21,'Covenant Tests'!$J$2:$J$107,0))="","",INDEX('Covenant Tests'!$E$2:$E$107,MATCH($H21,'Covenant Tests'!$J$2:$J$107,0))),"Source record missing")</f>
        <v>Event-driven</v>
      </c>
      <c r="D21" s="19" t="str">
        <f aca="false">HYPERLINK("#'Covenant Tests'!A"&amp;(MATCH($H21,'Covenant Tests'!$J$2:$J$107,0)+1),INDEX('Covenant Tests'!$C$2:$C$107,MATCH($H21,'Covenant Tests'!$J$2:$J$107,0)))</f>
        <v>Distribution test: DSCR</v>
      </c>
      <c r="E21" s="5" t="str">
        <f aca="false">IFERROR(IF(INDEX('Covenant Tests'!$D$2:$D$107,MATCH($H21,'Covenant Tests'!$J$2:$J$107,0))="","",INDEX('Covenant Tests'!$D$2:$D$107,MATCH($H21,'Covenant Tests'!$J$2:$J$107,0))),"Source record missing")</f>
        <v>1.20x on trailing 6 months, annualized</v>
      </c>
      <c r="F21" s="5" t="str">
        <f aca="false">IFERROR(IF(INDEX('Covenant Tests'!$G$2:$G$107,MATCH($H21,'Covenant Tests'!$J$2:$J$107,0))="","",INDEX('Covenant Tests'!$G$2:$G$107,MATCH($H21,'Covenant Tests'!$J$2:$J$107,0))),"Source record missing")</f>
        <v>Before distributions; each distribution</v>
      </c>
      <c r="G21" s="5" t="str">
        <f aca="false">IFERROR(IF(INDEX('Covenant Tests'!$I$2:$I$107,MATCH($H21,'Covenant Tests'!$J$2:$J$107,0))="","",INDEX('Covenant Tests'!$I$2:$I$107,MATCH($H21,'Covenant Tests'!$J$2:$J$107,0))),"Source record missing")</f>
        <v>Loan Agreement 9.9</v>
      </c>
      <c r="H21" s="18" t="s">
        <v>90</v>
      </c>
    </row>
    <row r="22" customFormat="false" ht="46.5" hidden="false" customHeight="true" outlineLevel="0" collapsed="false">
      <c r="A22" s="5" t="str">
        <f aca="false">IFERROR(IF(INDEX('Covenant Tests'!$A$2:$A$107,MATCH($H22,'Covenant Tests'!$J$2:$J$107,0))="","",INDEX('Covenant Tests'!$A$2:$A$107,MATCH($H22,'Covenant Tests'!$J$2:$J$107,0))),"Source record missing")</f>
        <v>Stockbridge</v>
      </c>
      <c r="B22" s="5" t="str">
        <f aca="false">IFERROR(IF(INDEX('Covenant Tests'!$B$2:$B$107,MATCH($H22,'Covenant Tests'!$J$2:$J$107,0))="","",INDEX('Covenant Tests'!$B$2:$B$107,MATCH($H22,'Covenant Tests'!$J$2:$J$107,0))),"Source record missing")</f>
        <v>UMB</v>
      </c>
      <c r="C22" s="5" t="str">
        <f aca="false">IFERROR(IF(INDEX('Covenant Tests'!$E$2:$E$107,MATCH($H22,'Covenant Tests'!$J$2:$J$107,0))="","",INDEX('Covenant Tests'!$E$2:$E$107,MATCH($H22,'Covenant Tests'!$J$2:$J$107,0))),"Source record missing")</f>
        <v>Event-driven</v>
      </c>
      <c r="D22" s="19" t="str">
        <f aca="false">HYPERLINK("#'Covenant Tests'!A"&amp;(MATCH($H22,'Covenant Tests'!$J$2:$J$107,0)+1),INDEX('Covenant Tests'!$C$2:$C$107,MATCH($H22,'Covenant Tests'!$J$2:$J$107,0)))</f>
        <v>LTV Threshold</v>
      </c>
      <c r="E22" s="5" t="str">
        <f aca="false">IFERROR(IF(INDEX('Covenant Tests'!$D$2:$D$107,MATCH($H22,'Covenant Tests'!$J$2:$J$107,0))="","",INDEX('Covenant Tests'!$D$2:$D$107,MATCH($H22,'Covenant Tests'!$J$2:$J$107,0))),"Source record missing")</f>
        <v>60% of as-is value</v>
      </c>
      <c r="F22" s="5" t="str">
        <f aca="false">IFERROR(IF(INDEX('Covenant Tests'!$G$2:$G$107,MATCH($H22,'Covenant Tests'!$J$2:$J$107,0))="","",INDEX('Covenant Tests'!$G$2:$G$107,MATCH($H22,'Covenant Tests'!$J$2:$J$107,0))),"Source record missing")</f>
        <v>On appraisal; at extension, after 12/27/2027 or Event of Default</v>
      </c>
      <c r="G22" s="5" t="str">
        <f aca="false">IFERROR(IF(INDEX('Covenant Tests'!$I$2:$I$107,MATCH($H22,'Covenant Tests'!$J$2:$J$107,0))="","",INDEX('Covenant Tests'!$I$2:$I$107,MATCH($H22,'Covenant Tests'!$J$2:$J$107,0))),"Source record missing")</f>
        <v>Loan Agreement 7.21</v>
      </c>
      <c r="H22" s="18" t="s">
        <v>91</v>
      </c>
    </row>
    <row r="23" customFormat="false" ht="33" hidden="false" customHeight="true" outlineLevel="0" collapsed="false">
      <c r="A23" s="5" t="str">
        <f aca="false">IFERROR(IF(INDEX('Covenant Tests'!$A$2:$A$107,MATCH($H23,'Covenant Tests'!$J$2:$J$107,0))="","",INDEX('Covenant Tests'!$A$2:$A$107,MATCH($H23,'Covenant Tests'!$J$2:$J$107,0))),"Source record missing")</f>
        <v>Nampa Sundance</v>
      </c>
      <c r="B23" s="5" t="str">
        <f aca="false">IFERROR(IF(INDEX('Covenant Tests'!$B$2:$B$107,MATCH($H23,'Covenant Tests'!$J$2:$J$107,0))="","",INDEX('Covenant Tests'!$B$2:$B$107,MATCH($H23,'Covenant Tests'!$J$2:$J$107,0))),"Source record missing")</f>
        <v>Wintrust</v>
      </c>
      <c r="C23" s="5" t="str">
        <f aca="false">IFERROR(IF(INDEX('Covenant Tests'!$E$2:$E$107,MATCH($H23,'Covenant Tests'!$J$2:$J$107,0))="","",INDEX('Covenant Tests'!$E$2:$E$107,MATCH($H23,'Covenant Tests'!$J$2:$J$107,0))),"Source record missing")</f>
        <v>Ongoing</v>
      </c>
      <c r="D23" s="19" t="str">
        <f aca="false">HYPERLINK("#'Covenant Tests'!A"&amp;(MATCH($H23,'Covenant Tests'!$J$2:$J$107,0)+1),INDEX('Covenant Tests'!$C$2:$C$107,MATCH($H23,'Covenant Tests'!$J$2:$J$107,0)))</f>
        <v>IRM Reserve</v>
      </c>
      <c r="E23" s="5" t="str">
        <f aca="false">IFERROR(IF(INDEX('Covenant Tests'!$D$2:$D$107,MATCH($H23,'Covenant Tests'!$J$2:$J$107,0))="","",INDEX('Covenant Tests'!$D$2:$D$107,MATCH($H23,'Covenant Tests'!$J$2:$J$107,0))),"Source record missing")</f>
        <v>$500,000 minimum; released with a swap or at DSCR 1.20x</v>
      </c>
      <c r="F23" s="5" t="str">
        <f aca="false">IFERROR(IF(INDEX('Covenant Tests'!$G$2:$G$107,MATCH($H23,'Covenant Tests'!$J$2:$J$107,0))="","",INDEX('Covenant Tests'!$G$2:$G$107,MATCH($H23,'Covenant Tests'!$J$2:$J$107,0))),"Source record missing")</f>
        <v>At all times</v>
      </c>
      <c r="G23" s="5" t="str">
        <f aca="false">IFERROR(IF(INDEX('Covenant Tests'!$I$2:$I$107,MATCH($H23,'Covenant Tests'!$J$2:$J$107,0))="","",INDEX('Covenant Tests'!$I$2:$I$107,MATCH($H23,'Covenant Tests'!$J$2:$J$107,0))),"Source record missing")</f>
        <v>Loan Agreement 1.14(b)</v>
      </c>
      <c r="H23" s="18" t="s">
        <v>92</v>
      </c>
    </row>
    <row r="24" customFormat="false" ht="33" hidden="false" customHeight="true" outlineLevel="0" collapsed="false">
      <c r="A24" s="5" t="str">
        <f aca="false">IFERROR(IF(INDEX('Covenant Tests'!$A$2:$A$107,MATCH($H24,'Covenant Tests'!$J$2:$J$107,0))="","",INDEX('Covenant Tests'!$A$2:$A$107,MATCH($H24,'Covenant Tests'!$J$2:$J$107,0))),"Source record missing")</f>
        <v>Nampa Sundance</v>
      </c>
      <c r="B24" s="5" t="str">
        <f aca="false">IFERROR(IF(INDEX('Covenant Tests'!$B$2:$B$107,MATCH($H24,'Covenant Tests'!$J$2:$J$107,0))="","",INDEX('Covenant Tests'!$B$2:$B$107,MATCH($H24,'Covenant Tests'!$J$2:$J$107,0))),"Source record missing")</f>
        <v>Wintrust</v>
      </c>
      <c r="C24" s="5" t="str">
        <f aca="false">IFERROR(IF(INDEX('Covenant Tests'!$E$2:$E$107,MATCH($H24,'Covenant Tests'!$J$2:$J$107,0))="","",INDEX('Covenant Tests'!$E$2:$E$107,MATCH($H24,'Covenant Tests'!$J$2:$J$107,0))),"Source record missing")</f>
        <v>Event-driven</v>
      </c>
      <c r="D24" s="19" t="str">
        <f aca="false">HYPERLINK("#'Covenant Tests'!A"&amp;(MATCH($H24,'Covenant Tests'!$J$2:$J$107,0)+1),INDEX('Covenant Tests'!$C$2:$C$107,MATCH($H24,'Covenant Tests'!$J$2:$J$107,0)))</f>
        <v>Reappraisal: LTV</v>
      </c>
      <c r="E24" s="5" t="str">
        <f aca="false">IFERROR(IF(INDEX('Covenant Tests'!$D$2:$D$107,MATCH($H24,'Covenant Tests'!$J$2:$J$107,0))="","",INDEX('Covenant Tests'!$D$2:$D$107,MATCH($H24,'Covenant Tests'!$J$2:$J$107,0))),"Source record missing")</f>
        <v>60%</v>
      </c>
      <c r="F24" s="5" t="str">
        <f aca="false">IFERROR(IF(INDEX('Covenant Tests'!$G$2:$G$107,MATCH($H24,'Covenant Tests'!$J$2:$J$107,0))="","",INDEX('Covenant Tests'!$G$2:$G$107,MATCH($H24,'Covenant Tests'!$J$2:$J$107,0))),"Source record missing")</f>
        <v>On appraisal; on agent request from 10/3/2027</v>
      </c>
      <c r="G24" s="5" t="str">
        <f aca="false">IFERROR(IF(INDEX('Covenant Tests'!$I$2:$I$107,MATCH($H24,'Covenant Tests'!$J$2:$J$107,0))="","",INDEX('Covenant Tests'!$I$2:$I$107,MATCH($H24,'Covenant Tests'!$J$2:$J$107,0))),"Source record missing")</f>
        <v>Loan Agreement 4.12</v>
      </c>
      <c r="H24" s="18" t="s">
        <v>93</v>
      </c>
    </row>
    <row r="25" customFormat="false" ht="33" hidden="false" customHeight="true" outlineLevel="0" collapsed="false">
      <c r="A25" s="5" t="str">
        <f aca="false">IFERROR(IF(INDEX('Covenant Tests'!$A$2:$A$107,MATCH($H25,'Covenant Tests'!$J$2:$J$107,0))="","",INDEX('Covenant Tests'!$A$2:$A$107,MATCH($H25,'Covenant Tests'!$J$2:$J$107,0))),"Source record missing")</f>
        <v>2022 Fund (Barings)</v>
      </c>
      <c r="B25" s="5" t="str">
        <f aca="false">IFERROR(IF(INDEX('Covenant Tests'!$B$2:$B$107,MATCH($H25,'Covenant Tests'!$J$2:$J$107,0))="","",INDEX('Covenant Tests'!$B$2:$B$107,MATCH($H25,'Covenant Tests'!$J$2:$J$107,0))),"Source record missing")</f>
        <v>Barings (2022 Fund)</v>
      </c>
      <c r="C25" s="5" t="str">
        <f aca="false">IFERROR(IF(INDEX('Covenant Tests'!$E$2:$E$107,MATCH($H25,'Covenant Tests'!$J$2:$J$107,0))="","",INDEX('Covenant Tests'!$E$2:$E$107,MATCH($H25,'Covenant Tests'!$J$2:$J$107,0))),"Source record missing")</f>
        <v>Ongoing</v>
      </c>
      <c r="D25" s="19" t="str">
        <f aca="false">HYPERLINK("#'Covenant Tests'!A"&amp;(MATCH($H25,'Covenant Tests'!$J$2:$J$107,0)+1),INDEX('Covenant Tests'!$C$2:$C$107,MATCH($H25,'Covenant Tests'!$J$2:$J$107,0)))</f>
        <v>Cash trap: Portfolio DSCR</v>
      </c>
      <c r="E25" s="5" t="str">
        <f aca="false">IFERROR(IF(INDEX('Covenant Tests'!$D$2:$D$107,MATCH($H25,'Covenant Tests'!$J$2:$J$107,0))="","",INDEX('Covenant Tests'!$D$2:$D$107,MATCH($H25,'Covenant Tests'!$J$2:$J$107,0))),"Source record missing")</f>
        <v>1.05x (two straight quarters to release)</v>
      </c>
      <c r="F25" s="5" t="str">
        <f aca="false">IFERROR(IF(INDEX('Covenant Tests'!$G$2:$G$107,MATCH($H25,'Covenant Tests'!$J$2:$J$107,0))="","",INDEX('Covenant Tests'!$G$2:$G$107,MATCH($H25,'Covenant Tests'!$J$2:$J$107,0))),"Source record missing")</f>
        <v>Ongoing; any time after 5/31/2026</v>
      </c>
      <c r="G25" s="5" t="str">
        <f aca="false">IFERROR(IF(INDEX('Covenant Tests'!$I$2:$I$107,MATCH($H25,'Covenant Tests'!$J$2:$J$107,0))="","",INDEX('Covenant Tests'!$I$2:$I$107,MATCH($H25,'Covenant Tests'!$J$2:$J$107,0))),"Source record missing")</f>
        <v>Loan Agreement 5.5</v>
      </c>
      <c r="H25" s="18" t="s">
        <v>94</v>
      </c>
    </row>
    <row r="26" customFormat="false" ht="46.5" hidden="false" customHeight="true" outlineLevel="0" collapsed="false">
      <c r="A26" s="5" t="str">
        <f aca="false">IFERROR(IF(INDEX('Covenant Tests'!$A$2:$A$107,MATCH($H26,'Covenant Tests'!$J$2:$J$107,0))="","",INDEX('Covenant Tests'!$A$2:$A$107,MATCH($H26,'Covenant Tests'!$J$2:$J$107,0))),"Source record missing")</f>
        <v>Gilbert Val Vista</v>
      </c>
      <c r="B26" s="5" t="str">
        <f aca="false">IFERROR(IF(INDEX('Covenant Tests'!$B$2:$B$107,MATCH($H26,'Covenant Tests'!$J$2:$J$107,0))="","",INDEX('Covenant Tests'!$B$2:$B$107,MATCH($H26,'Covenant Tests'!$J$2:$J$107,0))),"Source record missing")</f>
        <v>Nationwide</v>
      </c>
      <c r="C26" s="5" t="str">
        <f aca="false">IFERROR(IF(INDEX('Covenant Tests'!$E$2:$E$107,MATCH($H26,'Covenant Tests'!$J$2:$J$107,0))="","",INDEX('Covenant Tests'!$E$2:$E$107,MATCH($H26,'Covenant Tests'!$J$2:$J$107,0))),"Source record missing")</f>
        <v>Ongoing</v>
      </c>
      <c r="D26" s="19" t="str">
        <f aca="false">HYPERLINK("#'Covenant Tests'!A"&amp;(MATCH($H26,'Covenant Tests'!$J$2:$J$107,0)+1),INDEX('Covenant Tests'!$C$2:$C$107,MATCH($H26,'Covenant Tests'!$J$2:$J$107,0)))</f>
        <v>Cash sweep and distribution block</v>
      </c>
      <c r="E26" s="5" t="str">
        <f aca="false">IFERROR(IF(INDEX('Covenant Tests'!$D$2:$D$107,MATCH($H26,'Covenant Tests'!$J$2:$J$107,0))="","",INDEX('Covenant Tests'!$D$2:$D$107,MATCH($H26,'Covenant Tests'!$J$2:$J$107,0))),"Source record missing")</f>
        <v>Until final completion, DSCR 1.00x on trailing 3 months and capitalized interest repaid</v>
      </c>
      <c r="F26" s="5" t="str">
        <f aca="false">IFERROR(IF(INDEX('Covenant Tests'!$G$2:$G$107,MATCH($H26,'Covenant Tests'!$J$2:$J$107,0))="","",INDEX('Covenant Tests'!$G$2:$G$107,MATCH($H26,'Covenant Tests'!$J$2:$J$107,0))),"Source record missing")</f>
        <v>Ongoing; monthly</v>
      </c>
      <c r="G26" s="5" t="str">
        <f aca="false">IFERROR(IF(INDEX('Covenant Tests'!$I$2:$I$107,MATCH($H26,'Covenant Tests'!$J$2:$J$107,0))="","",INDEX('Covenant Tests'!$I$2:$I$107,MATCH($H26,'Covenant Tests'!$J$2:$J$107,0))),"Source record missing")</f>
        <v>Loan Agreement 3.5, 7.14</v>
      </c>
      <c r="H26" s="18" t="s">
        <v>95</v>
      </c>
    </row>
    <row r="27" customFormat="false" ht="33" hidden="false" customHeight="true" outlineLevel="0" collapsed="false">
      <c r="A27" s="5" t="str">
        <f aca="false">IFERROR(IF(INDEX('Covenant Tests'!$A$2:$A$107,MATCH($H27,'Covenant Tests'!$J$2:$J$107,0))="","",INDEX('Covenant Tests'!$A$2:$A$107,MATCH($H27,'Covenant Tests'!$J$2:$J$107,0))),"Source record missing")</f>
        <v>Gilbert Val Vista</v>
      </c>
      <c r="B27" s="5" t="str">
        <f aca="false">IFERROR(IF(INDEX('Covenant Tests'!$B$2:$B$107,MATCH($H27,'Covenant Tests'!$J$2:$J$107,0))="","",INDEX('Covenant Tests'!$B$2:$B$107,MATCH($H27,'Covenant Tests'!$J$2:$J$107,0))),"Source record missing")</f>
        <v>Nationwide</v>
      </c>
      <c r="C27" s="5" t="str">
        <f aca="false">IFERROR(IF(INDEX('Covenant Tests'!$E$2:$E$107,MATCH($H27,'Covenant Tests'!$J$2:$J$107,0))="","",INDEX('Covenant Tests'!$E$2:$E$107,MATCH($H27,'Covenant Tests'!$J$2:$J$107,0))),"Source record missing")</f>
        <v>Event-driven</v>
      </c>
      <c r="D27" s="19" t="str">
        <f aca="false">HYPERLINK("#'Covenant Tests'!A"&amp;(MATCH($H27,'Covenant Tests'!$J$2:$J$107,0)+1),INDEX('Covenant Tests'!$C$2:$C$107,MATCH($H27,'Covenant Tests'!$J$2:$J$107,0)))</f>
        <v>Interest reserve top-up</v>
      </c>
      <c r="E27" s="5" t="str">
        <f aca="false">IFERROR(IF(INDEX('Covenant Tests'!$D$2:$D$107,MATCH($H27,'Covenant Tests'!$J$2:$J$107,0))="","",INDEX('Covenant Tests'!$D$2:$D$107,MATCH($H27,'Covenant Tests'!$J$2:$J$107,0))),"Source record missing")</f>
        <v>Reserve short of projected current pay interest, or loan to cost at 70%</v>
      </c>
      <c r="F27" s="5" t="str">
        <f aca="false">IFERROR(IF(INDEX('Covenant Tests'!$G$2:$G$107,MATCH($H27,'Covenant Tests'!$J$2:$J$107,0))="","",INDEX('Covenant Tests'!$G$2:$G$107,MATCH($H27,'Covenant Tests'!$J$2:$J$107,0))),"Source record missing")</f>
        <v>On lender notice</v>
      </c>
      <c r="G27" s="5" t="str">
        <f aca="false">IFERROR(IF(INDEX('Covenant Tests'!$I$2:$I$107,MATCH($H27,'Covenant Tests'!$J$2:$J$107,0))="","",INDEX('Covenant Tests'!$I$2:$I$107,MATCH($H27,'Covenant Tests'!$J$2:$J$107,0))),"Source record missing")</f>
        <v>Loan Agreement 3.4(d)</v>
      </c>
      <c r="H27" s="18" t="s">
        <v>96</v>
      </c>
    </row>
    <row r="28" customFormat="false" ht="33" hidden="false" customHeight="true" outlineLevel="0" collapsed="false">
      <c r="A28" s="5" t="str">
        <f aca="false">IFERROR(IF(INDEX('Covenant Tests'!$A$2:$A$107,MATCH($H28,'Covenant Tests'!$J$2:$J$107,0))="","",INDEX('Covenant Tests'!$A$2:$A$107,MATCH($H28,'Covenant Tests'!$J$2:$J$107,0))),"Source record missing")</f>
        <v>Newnan</v>
      </c>
      <c r="B28" s="5" t="str">
        <f aca="false">IFERROR(IF(INDEX('Covenant Tests'!$B$2:$B$107,MATCH($H28,'Covenant Tests'!$J$2:$J$107,0))="","",INDEX('Covenant Tests'!$B$2:$B$107,MATCH($H28,'Covenant Tests'!$J$2:$J$107,0))),"Source record missing")</f>
        <v>Comerica</v>
      </c>
      <c r="C28" s="5" t="str">
        <f aca="false">IFERROR(IF(INDEX('Covenant Tests'!$E$2:$E$107,MATCH($H28,'Covenant Tests'!$J$2:$J$107,0))="","",INDEX('Covenant Tests'!$E$2:$E$107,MATCH($H28,'Covenant Tests'!$J$2:$J$107,0))),"Source record missing")</f>
        <v>Ongoing</v>
      </c>
      <c r="D28" s="19" t="str">
        <f aca="false">HYPERLINK("#'Covenant Tests'!A"&amp;(MATCH($H28,'Covenant Tests'!$J$2:$J$107,0)+1),INDEX('Covenant Tests'!$C$2:$C$107,MATCH($H28,'Covenant Tests'!$J$2:$J$107,0)))</f>
        <v>Interest reserve shortfall</v>
      </c>
      <c r="E28" s="5" t="str">
        <f aca="false">IFERROR(IF(INDEX('Covenant Tests'!$D$2:$D$107,MATCH($H28,'Covenant Tests'!$J$2:$J$107,0))="","",INDEX('Covenant Tests'!$D$2:$D$107,MATCH($H28,'Covenant Tests'!$J$2:$J$107,0))),"Source record missing")</f>
        <v>IO DSCR under 1.00x and reserve under 90 days of interest</v>
      </c>
      <c r="F28" s="5" t="str">
        <f aca="false">IFERROR(IF(INDEX('Covenant Tests'!$G$2:$G$107,MATCH($H28,'Covenant Tests'!$J$2:$J$107,0))="","",INDEX('Covenant Tests'!$G$2:$G$107,MATCH($H28,'Covenant Tests'!$J$2:$J$107,0))),"Source record missing")</f>
        <v>Ongoing; any time</v>
      </c>
      <c r="G28" s="5" t="str">
        <f aca="false">IFERROR(IF(INDEX('Covenant Tests'!$I$2:$I$107,MATCH($H28,'Covenant Tests'!$J$2:$J$107,0))="","",INDEX('Covenant Tests'!$I$2:$I$107,MATCH($H28,'Covenant Tests'!$J$2:$J$107,0))),"Source record missing")</f>
        <v>Loan Agreement 2.4</v>
      </c>
      <c r="H28" s="18" t="s">
        <v>97</v>
      </c>
    </row>
    <row r="29" customFormat="false" ht="33" hidden="false" customHeight="true" outlineLevel="0" collapsed="false">
      <c r="A29" s="5" t="str">
        <f aca="false">IFERROR(IF(INDEX('Covenant Tests'!$A$2:$A$107,MATCH($H29,'Covenant Tests'!$J$2:$J$107,0))="","",INDEX('Covenant Tests'!$A$2:$A$107,MATCH($H29,'Covenant Tests'!$J$2:$J$107,0))),"Source record missing")</f>
        <v>Overland Park</v>
      </c>
      <c r="B29" s="5" t="str">
        <f aca="false">IFERROR(IF(INDEX('Covenant Tests'!$B$2:$B$107,MATCH($H29,'Covenant Tests'!$J$2:$J$107,0))="","",INDEX('Covenant Tests'!$B$2:$B$107,MATCH($H29,'Covenant Tests'!$J$2:$J$107,0))),"Source record missing")</f>
        <v>Simmons</v>
      </c>
      <c r="C29" s="5" t="str">
        <f aca="false">IFERROR(IF(INDEX('Covenant Tests'!$E$2:$E$107,MATCH($H29,'Covenant Tests'!$J$2:$J$107,0))="","",INDEX('Covenant Tests'!$E$2:$E$107,MATCH($H29,'Covenant Tests'!$J$2:$J$107,0))),"Source record missing")</f>
        <v>Ongoing</v>
      </c>
      <c r="D29" s="19" t="str">
        <f aca="false">HYPERLINK("#'Covenant Tests'!A"&amp;(MATCH($H29,'Covenant Tests'!$J$2:$J$107,0)+1),INDEX('Covenant Tests'!$C$2:$C$107,MATCH($H29,'Covenant Tests'!$J$2:$J$107,0)))</f>
        <v>Cash trap before stabilization</v>
      </c>
      <c r="E29" s="5" t="str">
        <f aca="false">IFERROR(IF(INDEX('Covenant Tests'!$D$2:$D$107,MATCH($H29,'Covenant Tests'!$J$2:$J$107,0))="","",INDEX('Covenant Tests'!$D$2:$D$107,MATCH($H29,'Covenant Tests'!$J$2:$J$107,0))),"Source record missing")</f>
        <v>Released at DSCR 1.25x</v>
      </c>
      <c r="F29" s="5" t="str">
        <f aca="false">IFERROR(IF(INDEX('Covenant Tests'!$G$2:$G$107,MATCH($H29,'Covenant Tests'!$J$2:$J$107,0))="","",INDEX('Covenant Tests'!$G$2:$G$107,MATCH($H29,'Covenant Tests'!$J$2:$J$107,0))),"Source record missing")</f>
        <v>Ongoing; until stabilization</v>
      </c>
      <c r="G29" s="5" t="str">
        <f aca="false">IFERROR(IF(INDEX('Covenant Tests'!$I$2:$I$107,MATCH($H29,'Covenant Tests'!$J$2:$J$107,0))="","",INDEX('Covenant Tests'!$I$2:$I$107,MATCH($H29,'Covenant Tests'!$J$2:$J$107,0))),"Source record missing")</f>
        <v>Loan Agreement 10.21</v>
      </c>
      <c r="H29" s="18" t="s">
        <v>98</v>
      </c>
    </row>
    <row r="30" customFormat="false" ht="21.75" hidden="false" customHeight="true" outlineLevel="0" collapsed="false">
      <c r="A30" s="5" t="str">
        <f aca="false">IFERROR(IF(INDEX('Covenant Tests'!$A$2:$A$107,MATCH($H30,'Covenant Tests'!$J$2:$J$107,0))="","",INDEX('Covenant Tests'!$A$2:$A$107,MATCH($H30,'Covenant Tests'!$J$2:$J$107,0))),"Source record missing")</f>
        <v>Overland Park</v>
      </c>
      <c r="B30" s="5" t="str">
        <f aca="false">IFERROR(IF(INDEX('Covenant Tests'!$B$2:$B$107,MATCH($H30,'Covenant Tests'!$J$2:$J$107,0))="","",INDEX('Covenant Tests'!$B$2:$B$107,MATCH($H30,'Covenant Tests'!$J$2:$J$107,0))),"Source record missing")</f>
        <v>Simmons</v>
      </c>
      <c r="C30" s="5" t="str">
        <f aca="false">IFERROR(IF(INDEX('Covenant Tests'!$E$2:$E$107,MATCH($H30,'Covenant Tests'!$J$2:$J$107,0))="","",INDEX('Covenant Tests'!$E$2:$E$107,MATCH($H30,'Covenant Tests'!$J$2:$J$107,0))),"Source record missing")</f>
        <v>Ongoing</v>
      </c>
      <c r="D30" s="19" t="str">
        <f aca="false">HYPERLINK("#'Covenant Tests'!A"&amp;(MATCH($H30,'Covenant Tests'!$J$2:$J$107,0)+1),INDEX('Covenant Tests'!$C$2:$C$107,MATCH($H30,'Covenant Tests'!$J$2:$J$107,0)))</f>
        <v>Loan to cost</v>
      </c>
      <c r="E30" s="5" t="str">
        <f aca="false">IFERROR(IF(INDEX('Covenant Tests'!$D$2:$D$107,MATCH($H30,'Covenant Tests'!$J$2:$J$107,0))="","",INDEX('Covenant Tests'!$D$2:$D$107,MATCH($H30,'Covenant Tests'!$J$2:$J$107,0))),"Source record missing")</f>
        <v>65% of project cost</v>
      </c>
      <c r="F30" s="5" t="str">
        <f aca="false">IFERROR(IF(INDEX('Covenant Tests'!$G$2:$G$107,MATCH($H30,'Covenant Tests'!$J$2:$J$107,0))="","",INDEX('Covenant Tests'!$G$2:$G$107,MATCH($H30,'Covenant Tests'!$J$2:$J$107,0))),"Source record missing")</f>
        <v>At all times</v>
      </c>
      <c r="G30" s="5" t="str">
        <f aca="false">IFERROR(IF(INDEX('Covenant Tests'!$I$2:$I$107,MATCH($H30,'Covenant Tests'!$J$2:$J$107,0))="","",INDEX('Covenant Tests'!$I$2:$I$107,MATCH($H30,'Covenant Tests'!$J$2:$J$107,0))),"Source record missing")</f>
        <v>Loan Agreement, Loan to Cost</v>
      </c>
      <c r="H30" s="18" t="s">
        <v>99</v>
      </c>
    </row>
  </sheetData>
  <autoFilter ref="A4:H30"/>
  <mergeCells count="2">
    <mergeCell ref="A1:G1"/>
    <mergeCell ref="A2:G2"/>
  </mergeCells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&amp;LOngoing Obligations&amp;CPage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" activeCellId="0" sqref="B2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20.71"/>
    <col collapsed="false" customWidth="true" hidden="true" outlineLevel="1" max="2" min="2" style="0" width="18.71"/>
    <col collapsed="false" customWidth="true" hidden="false" outlineLevel="0" max="3" min="3" style="0" width="24.71"/>
    <col collapsed="false" customWidth="true" hidden="false" outlineLevel="0" max="4" min="4" style="0" width="32.71"/>
    <col collapsed="false" customWidth="true" hidden="false" outlineLevel="0" max="5" min="5" style="0" width="12.71"/>
    <col collapsed="false" customWidth="true" hidden="false" outlineLevel="0" max="6" min="6" style="0" width="11.71"/>
    <col collapsed="false" customWidth="true" hidden="false" outlineLevel="0" max="7" min="7" style="0" width="24.71"/>
    <col collapsed="false" customWidth="true" hidden="true" outlineLevel="1" max="9" min="9" style="0" width="30.71"/>
    <col collapsed="false" customWidth="true" hidden="true" outlineLevel="0" max="10" min="10" style="0" width="11.53"/>
  </cols>
  <sheetData>
    <row r="1" customFormat="false" ht="31.5" hidden="false" customHeight="true" outlineLevel="0" collapsed="false">
      <c r="A1" s="15" t="s">
        <v>8</v>
      </c>
      <c r="B1" s="15" t="s">
        <v>9</v>
      </c>
      <c r="C1" s="15" t="s">
        <v>17</v>
      </c>
      <c r="D1" s="15" t="s">
        <v>18</v>
      </c>
      <c r="E1" s="15" t="s">
        <v>72</v>
      </c>
      <c r="F1" s="15" t="s">
        <v>100</v>
      </c>
      <c r="G1" s="15" t="s">
        <v>73</v>
      </c>
      <c r="H1" s="15" t="s">
        <v>101</v>
      </c>
      <c r="I1" s="15" t="s">
        <v>20</v>
      </c>
      <c r="J1" s="18" t="s">
        <v>21</v>
      </c>
    </row>
    <row r="2" customFormat="false" ht="31.5" hidden="false" customHeight="true" outlineLevel="0" collapsed="false">
      <c r="A2" s="17" t="s">
        <v>49</v>
      </c>
      <c r="B2" s="17" t="s">
        <v>102</v>
      </c>
      <c r="C2" s="17" t="s">
        <v>47</v>
      </c>
      <c r="D2" s="17" t="s">
        <v>103</v>
      </c>
      <c r="E2" s="17" t="s">
        <v>104</v>
      </c>
      <c r="F2" s="16" t="n">
        <v>46692</v>
      </c>
      <c r="G2" s="17" t="s">
        <v>27</v>
      </c>
      <c r="H2" s="20" t="s">
        <v>105</v>
      </c>
      <c r="I2" s="17" t="s">
        <v>106</v>
      </c>
      <c r="J2" s="18" t="s">
        <v>48</v>
      </c>
    </row>
    <row r="3" customFormat="false" ht="21" hidden="false" customHeight="true" outlineLevel="0" collapsed="false">
      <c r="A3" s="17" t="s">
        <v>49</v>
      </c>
      <c r="B3" s="17" t="s">
        <v>102</v>
      </c>
      <c r="C3" s="17" t="s">
        <v>107</v>
      </c>
      <c r="D3" s="17" t="s">
        <v>108</v>
      </c>
      <c r="E3" s="17" t="s">
        <v>104</v>
      </c>
      <c r="F3" s="16" t="n">
        <v>46692</v>
      </c>
      <c r="G3" s="17" t="s">
        <v>27</v>
      </c>
      <c r="H3" s="20" t="s">
        <v>105</v>
      </c>
      <c r="I3" s="17" t="s">
        <v>109</v>
      </c>
      <c r="J3" s="18" t="s">
        <v>110</v>
      </c>
    </row>
    <row r="4" customFormat="false" ht="45.75" hidden="false" customHeight="true" outlineLevel="0" collapsed="false">
      <c r="A4" s="17" t="s">
        <v>49</v>
      </c>
      <c r="B4" s="17" t="s">
        <v>102</v>
      </c>
      <c r="C4" s="17" t="s">
        <v>111</v>
      </c>
      <c r="D4" s="17" t="s">
        <v>112</v>
      </c>
      <c r="E4" s="17" t="s">
        <v>113</v>
      </c>
      <c r="F4" s="16"/>
      <c r="G4" s="17" t="s">
        <v>114</v>
      </c>
      <c r="H4" s="20" t="s">
        <v>105</v>
      </c>
      <c r="I4" s="17" t="s">
        <v>115</v>
      </c>
      <c r="J4" s="18" t="s">
        <v>74</v>
      </c>
    </row>
    <row r="5" customFormat="false" ht="45.75" hidden="false" customHeight="true" outlineLevel="0" collapsed="false">
      <c r="A5" s="17" t="s">
        <v>49</v>
      </c>
      <c r="B5" s="17" t="s">
        <v>102</v>
      </c>
      <c r="C5" s="17" t="s">
        <v>116</v>
      </c>
      <c r="D5" s="17" t="s">
        <v>117</v>
      </c>
      <c r="E5" s="17" t="s">
        <v>118</v>
      </c>
      <c r="F5" s="16"/>
      <c r="G5" s="17" t="s">
        <v>119</v>
      </c>
      <c r="H5" s="20" t="s">
        <v>105</v>
      </c>
      <c r="I5" s="17" t="s">
        <v>120</v>
      </c>
      <c r="J5" s="18" t="s">
        <v>75</v>
      </c>
    </row>
    <row r="6" customFormat="false" ht="45.75" hidden="false" customHeight="true" outlineLevel="0" collapsed="false">
      <c r="A6" s="17" t="s">
        <v>121</v>
      </c>
      <c r="B6" s="17" t="s">
        <v>102</v>
      </c>
      <c r="C6" s="17" t="s">
        <v>111</v>
      </c>
      <c r="D6" s="17" t="s">
        <v>112</v>
      </c>
      <c r="E6" s="17" t="s">
        <v>113</v>
      </c>
      <c r="F6" s="16"/>
      <c r="G6" s="17" t="s">
        <v>114</v>
      </c>
      <c r="H6" s="20" t="s">
        <v>105</v>
      </c>
      <c r="I6" s="17" t="s">
        <v>115</v>
      </c>
      <c r="J6" s="18" t="s">
        <v>76</v>
      </c>
    </row>
    <row r="7" customFormat="false" ht="45.75" hidden="false" customHeight="true" outlineLevel="0" collapsed="false">
      <c r="A7" s="17" t="s">
        <v>121</v>
      </c>
      <c r="B7" s="17" t="s">
        <v>102</v>
      </c>
      <c r="C7" s="17" t="s">
        <v>116</v>
      </c>
      <c r="D7" s="17" t="s">
        <v>117</v>
      </c>
      <c r="E7" s="17" t="s">
        <v>118</v>
      </c>
      <c r="F7" s="16"/>
      <c r="G7" s="17" t="s">
        <v>119</v>
      </c>
      <c r="H7" s="20" t="s">
        <v>105</v>
      </c>
      <c r="I7" s="17" t="s">
        <v>120</v>
      </c>
      <c r="J7" s="18" t="s">
        <v>77</v>
      </c>
    </row>
    <row r="8" customFormat="false" ht="31.5" hidden="false" customHeight="true" outlineLevel="0" collapsed="false">
      <c r="A8" s="17" t="s">
        <v>121</v>
      </c>
      <c r="B8" s="17" t="s">
        <v>102</v>
      </c>
      <c r="C8" s="17" t="s">
        <v>47</v>
      </c>
      <c r="D8" s="17" t="s">
        <v>122</v>
      </c>
      <c r="E8" s="17" t="s">
        <v>104</v>
      </c>
      <c r="F8" s="16" t="n">
        <v>47014</v>
      </c>
      <c r="G8" s="17" t="s">
        <v>27</v>
      </c>
      <c r="H8" s="20" t="s">
        <v>123</v>
      </c>
      <c r="I8" s="17" t="s">
        <v>106</v>
      </c>
      <c r="J8" s="18" t="s">
        <v>124</v>
      </c>
    </row>
    <row r="9" customFormat="false" ht="21" hidden="false" customHeight="true" outlineLevel="0" collapsed="false">
      <c r="A9" s="17" t="s">
        <v>121</v>
      </c>
      <c r="B9" s="17" t="s">
        <v>102</v>
      </c>
      <c r="C9" s="17" t="s">
        <v>107</v>
      </c>
      <c r="D9" s="17" t="s">
        <v>125</v>
      </c>
      <c r="E9" s="17" t="s">
        <v>104</v>
      </c>
      <c r="F9" s="16" t="n">
        <v>47014</v>
      </c>
      <c r="G9" s="17" t="s">
        <v>27</v>
      </c>
      <c r="H9" s="20" t="s">
        <v>123</v>
      </c>
      <c r="I9" s="17" t="s">
        <v>109</v>
      </c>
      <c r="J9" s="18" t="s">
        <v>126</v>
      </c>
    </row>
    <row r="10" customFormat="false" ht="45.75" hidden="false" customHeight="true" outlineLevel="0" collapsed="false">
      <c r="A10" s="17" t="s">
        <v>127</v>
      </c>
      <c r="B10" s="17" t="s">
        <v>128</v>
      </c>
      <c r="C10" s="17" t="s">
        <v>40</v>
      </c>
      <c r="D10" s="17" t="s">
        <v>129</v>
      </c>
      <c r="E10" s="17" t="s">
        <v>130</v>
      </c>
      <c r="F10" s="16" t="n">
        <v>46608</v>
      </c>
      <c r="G10" s="17" t="s">
        <v>131</v>
      </c>
      <c r="H10" s="20" t="s">
        <v>105</v>
      </c>
      <c r="I10" s="17" t="s">
        <v>132</v>
      </c>
      <c r="J10" s="18" t="s">
        <v>42</v>
      </c>
    </row>
    <row r="11" customFormat="false" ht="31.5" hidden="false" customHeight="true" outlineLevel="0" collapsed="false">
      <c r="A11" s="17" t="s">
        <v>127</v>
      </c>
      <c r="B11" s="17" t="s">
        <v>128</v>
      </c>
      <c r="C11" s="17" t="s">
        <v>133</v>
      </c>
      <c r="D11" s="17" t="s">
        <v>134</v>
      </c>
      <c r="E11" s="17" t="s">
        <v>104</v>
      </c>
      <c r="F11" s="16" t="n">
        <v>46974</v>
      </c>
      <c r="G11" s="17" t="s">
        <v>27</v>
      </c>
      <c r="H11" s="20" t="s">
        <v>123</v>
      </c>
      <c r="I11" s="17" t="s">
        <v>135</v>
      </c>
      <c r="J11" s="18" t="s">
        <v>136</v>
      </c>
    </row>
    <row r="12" customFormat="false" ht="31.5" hidden="false" customHeight="true" outlineLevel="0" collapsed="false">
      <c r="A12" s="17" t="s">
        <v>127</v>
      </c>
      <c r="B12" s="17" t="s">
        <v>128</v>
      </c>
      <c r="C12" s="17" t="s">
        <v>137</v>
      </c>
      <c r="D12" s="17" t="s">
        <v>138</v>
      </c>
      <c r="E12" s="17" t="s">
        <v>104</v>
      </c>
      <c r="F12" s="16" t="n">
        <v>47339</v>
      </c>
      <c r="G12" s="17" t="s">
        <v>27</v>
      </c>
      <c r="H12" s="20" t="s">
        <v>123</v>
      </c>
      <c r="I12" s="17" t="s">
        <v>139</v>
      </c>
      <c r="J12" s="18" t="s">
        <v>140</v>
      </c>
    </row>
    <row r="13" customFormat="false" ht="31.5" hidden="false" customHeight="true" outlineLevel="0" collapsed="false">
      <c r="A13" s="17" t="s">
        <v>141</v>
      </c>
      <c r="B13" s="17" t="s">
        <v>142</v>
      </c>
      <c r="C13" s="17" t="s">
        <v>143</v>
      </c>
      <c r="D13" s="17" t="s">
        <v>144</v>
      </c>
      <c r="E13" s="17" t="s">
        <v>113</v>
      </c>
      <c r="F13" s="16"/>
      <c r="G13" s="17" t="s">
        <v>145</v>
      </c>
      <c r="H13" s="20" t="s">
        <v>105</v>
      </c>
      <c r="I13" s="17" t="s">
        <v>146</v>
      </c>
      <c r="J13" s="18" t="s">
        <v>78</v>
      </c>
    </row>
    <row r="14" customFormat="false" ht="31.5" hidden="false" customHeight="true" outlineLevel="0" collapsed="false">
      <c r="A14" s="17" t="s">
        <v>141</v>
      </c>
      <c r="B14" s="17" t="s">
        <v>142</v>
      </c>
      <c r="C14" s="17" t="s">
        <v>147</v>
      </c>
      <c r="D14" s="17" t="s">
        <v>148</v>
      </c>
      <c r="E14" s="17" t="s">
        <v>104</v>
      </c>
      <c r="F14" s="16" t="n">
        <v>46934</v>
      </c>
      <c r="G14" s="17" t="s">
        <v>27</v>
      </c>
      <c r="H14" s="20" t="s">
        <v>123</v>
      </c>
      <c r="I14" s="17" t="s">
        <v>149</v>
      </c>
      <c r="J14" s="18" t="s">
        <v>150</v>
      </c>
    </row>
    <row r="15" customFormat="false" ht="21" hidden="false" customHeight="true" outlineLevel="0" collapsed="false">
      <c r="A15" s="17" t="s">
        <v>151</v>
      </c>
      <c r="B15" s="17" t="s">
        <v>152</v>
      </c>
      <c r="C15" s="17" t="s">
        <v>43</v>
      </c>
      <c r="D15" s="17" t="s">
        <v>153</v>
      </c>
      <c r="E15" s="17" t="s">
        <v>130</v>
      </c>
      <c r="F15" s="16" t="n">
        <v>46660</v>
      </c>
      <c r="G15" s="17" t="s">
        <v>154</v>
      </c>
      <c r="H15" s="20" t="s">
        <v>105</v>
      </c>
      <c r="I15" s="17" t="s">
        <v>155</v>
      </c>
      <c r="J15" s="18" t="s">
        <v>44</v>
      </c>
    </row>
    <row r="16" customFormat="false" ht="21" hidden="false" customHeight="true" outlineLevel="0" collapsed="false">
      <c r="A16" s="17" t="s">
        <v>151</v>
      </c>
      <c r="B16" s="17" t="s">
        <v>152</v>
      </c>
      <c r="C16" s="17" t="s">
        <v>45</v>
      </c>
      <c r="D16" s="17" t="s">
        <v>156</v>
      </c>
      <c r="E16" s="17" t="s">
        <v>130</v>
      </c>
      <c r="F16" s="16" t="n">
        <v>46660</v>
      </c>
      <c r="G16" s="17" t="s">
        <v>154</v>
      </c>
      <c r="H16" s="20" t="s">
        <v>105</v>
      </c>
      <c r="I16" s="17" t="s">
        <v>157</v>
      </c>
      <c r="J16" s="18" t="s">
        <v>46</v>
      </c>
    </row>
    <row r="17" customFormat="false" ht="31.5" hidden="false" customHeight="true" outlineLevel="0" collapsed="false">
      <c r="A17" s="17" t="s">
        <v>151</v>
      </c>
      <c r="B17" s="17" t="s">
        <v>152</v>
      </c>
      <c r="C17" s="17" t="s">
        <v>158</v>
      </c>
      <c r="D17" s="17" t="s">
        <v>159</v>
      </c>
      <c r="E17" s="17" t="s">
        <v>130</v>
      </c>
      <c r="F17" s="16" t="n">
        <v>47266</v>
      </c>
      <c r="G17" s="17" t="s">
        <v>160</v>
      </c>
      <c r="H17" s="20" t="s">
        <v>123</v>
      </c>
      <c r="I17" s="17" t="s">
        <v>161</v>
      </c>
      <c r="J17" s="18" t="s">
        <v>162</v>
      </c>
    </row>
    <row r="18" customFormat="false" ht="45.75" hidden="false" customHeight="true" outlineLevel="0" collapsed="false">
      <c r="A18" s="17" t="s">
        <v>151</v>
      </c>
      <c r="B18" s="17" t="s">
        <v>152</v>
      </c>
      <c r="C18" s="17" t="s">
        <v>163</v>
      </c>
      <c r="D18" s="17" t="s">
        <v>164</v>
      </c>
      <c r="E18" s="17" t="s">
        <v>118</v>
      </c>
      <c r="F18" s="16"/>
      <c r="G18" s="17" t="s">
        <v>119</v>
      </c>
      <c r="H18" s="20" t="s">
        <v>105</v>
      </c>
      <c r="I18" s="17" t="s">
        <v>165</v>
      </c>
      <c r="J18" s="18" t="s">
        <v>79</v>
      </c>
    </row>
    <row r="19" customFormat="false" ht="45.75" hidden="false" customHeight="true" outlineLevel="0" collapsed="false">
      <c r="A19" s="17" t="s">
        <v>166</v>
      </c>
      <c r="B19" s="17" t="s">
        <v>167</v>
      </c>
      <c r="C19" s="17" t="s">
        <v>168</v>
      </c>
      <c r="D19" s="17" t="s">
        <v>169</v>
      </c>
      <c r="E19" s="17" t="s">
        <v>113</v>
      </c>
      <c r="F19" s="16"/>
      <c r="G19" s="17" t="s">
        <v>170</v>
      </c>
      <c r="H19" s="20" t="s">
        <v>105</v>
      </c>
      <c r="I19" s="17" t="s">
        <v>171</v>
      </c>
      <c r="J19" s="18" t="s">
        <v>80</v>
      </c>
    </row>
    <row r="20" customFormat="false" ht="21" hidden="false" customHeight="true" outlineLevel="0" collapsed="false">
      <c r="A20" s="17" t="s">
        <v>172</v>
      </c>
      <c r="B20" s="17" t="s">
        <v>173</v>
      </c>
      <c r="C20" s="17" t="s">
        <v>64</v>
      </c>
      <c r="D20" s="17" t="s">
        <v>174</v>
      </c>
      <c r="E20" s="17" t="s">
        <v>130</v>
      </c>
      <c r="F20" s="16" t="n">
        <v>46996</v>
      </c>
      <c r="G20" s="17" t="s">
        <v>175</v>
      </c>
      <c r="H20" s="20" t="s">
        <v>123</v>
      </c>
      <c r="I20" s="17" t="s">
        <v>176</v>
      </c>
      <c r="J20" s="18" t="s">
        <v>177</v>
      </c>
    </row>
    <row r="21" customFormat="false" ht="21" hidden="false" customHeight="true" outlineLevel="0" collapsed="false">
      <c r="A21" s="17" t="s">
        <v>172</v>
      </c>
      <c r="B21" s="17" t="s">
        <v>173</v>
      </c>
      <c r="C21" s="17" t="s">
        <v>26</v>
      </c>
      <c r="D21" s="17" t="s">
        <v>178</v>
      </c>
      <c r="E21" s="17" t="s">
        <v>104</v>
      </c>
      <c r="F21" s="16" t="n">
        <v>47149</v>
      </c>
      <c r="G21" s="17" t="s">
        <v>27</v>
      </c>
      <c r="H21" s="20" t="s">
        <v>123</v>
      </c>
      <c r="I21" s="17" t="s">
        <v>179</v>
      </c>
      <c r="J21" s="18" t="s">
        <v>180</v>
      </c>
    </row>
    <row r="22" customFormat="false" ht="21" hidden="false" customHeight="true" outlineLevel="0" collapsed="false">
      <c r="A22" s="17" t="s">
        <v>172</v>
      </c>
      <c r="B22" s="17" t="s">
        <v>173</v>
      </c>
      <c r="C22" s="17" t="s">
        <v>107</v>
      </c>
      <c r="D22" s="17" t="s">
        <v>181</v>
      </c>
      <c r="E22" s="17" t="s">
        <v>104</v>
      </c>
      <c r="F22" s="16" t="n">
        <v>47162</v>
      </c>
      <c r="G22" s="17" t="s">
        <v>27</v>
      </c>
      <c r="H22" s="20" t="s">
        <v>123</v>
      </c>
      <c r="I22" s="17" t="s">
        <v>182</v>
      </c>
      <c r="J22" s="18" t="s">
        <v>183</v>
      </c>
    </row>
    <row r="23" customFormat="false" ht="45.75" hidden="false" customHeight="true" outlineLevel="0" collapsed="false">
      <c r="A23" s="17" t="s">
        <v>184</v>
      </c>
      <c r="B23" s="17" t="s">
        <v>185</v>
      </c>
      <c r="C23" s="17" t="s">
        <v>186</v>
      </c>
      <c r="D23" s="17" t="s">
        <v>187</v>
      </c>
      <c r="E23" s="17" t="s">
        <v>113</v>
      </c>
      <c r="F23" s="16"/>
      <c r="G23" s="17" t="s">
        <v>188</v>
      </c>
      <c r="H23" s="20" t="s">
        <v>105</v>
      </c>
      <c r="I23" s="17" t="s">
        <v>189</v>
      </c>
      <c r="J23" s="18" t="s">
        <v>81</v>
      </c>
    </row>
    <row r="24" customFormat="false" ht="31.5" hidden="false" customHeight="true" outlineLevel="0" collapsed="false">
      <c r="A24" s="17" t="s">
        <v>184</v>
      </c>
      <c r="B24" s="17" t="s">
        <v>185</v>
      </c>
      <c r="C24" s="17" t="s">
        <v>22</v>
      </c>
      <c r="D24" s="17" t="s">
        <v>190</v>
      </c>
      <c r="E24" s="17" t="s">
        <v>130</v>
      </c>
      <c r="F24" s="16" t="n">
        <v>46477</v>
      </c>
      <c r="G24" s="17" t="s">
        <v>154</v>
      </c>
      <c r="H24" s="20" t="s">
        <v>105</v>
      </c>
      <c r="I24" s="17" t="s">
        <v>189</v>
      </c>
      <c r="J24" s="18" t="s">
        <v>25</v>
      </c>
    </row>
    <row r="25" customFormat="false" ht="31.5" hidden="false" customHeight="true" outlineLevel="0" collapsed="false">
      <c r="A25" s="17" t="s">
        <v>184</v>
      </c>
      <c r="B25" s="17" t="s">
        <v>185</v>
      </c>
      <c r="C25" s="17" t="s">
        <v>191</v>
      </c>
      <c r="D25" s="17" t="s">
        <v>192</v>
      </c>
      <c r="E25" s="17" t="s">
        <v>113</v>
      </c>
      <c r="F25" s="16"/>
      <c r="G25" s="17" t="s">
        <v>170</v>
      </c>
      <c r="H25" s="20" t="s">
        <v>105</v>
      </c>
      <c r="I25" s="17" t="s">
        <v>193</v>
      </c>
      <c r="J25" s="18" t="s">
        <v>82</v>
      </c>
    </row>
    <row r="26" customFormat="false" ht="31.5" hidden="false" customHeight="true" outlineLevel="0" collapsed="false">
      <c r="A26" s="17" t="s">
        <v>184</v>
      </c>
      <c r="B26" s="17" t="s">
        <v>185</v>
      </c>
      <c r="C26" s="17" t="s">
        <v>194</v>
      </c>
      <c r="D26" s="17" t="s">
        <v>195</v>
      </c>
      <c r="E26" s="17" t="s">
        <v>113</v>
      </c>
      <c r="F26" s="16"/>
      <c r="G26" s="17" t="s">
        <v>170</v>
      </c>
      <c r="H26" s="20" t="s">
        <v>105</v>
      </c>
      <c r="I26" s="17" t="s">
        <v>193</v>
      </c>
      <c r="J26" s="18" t="s">
        <v>83</v>
      </c>
    </row>
    <row r="27" customFormat="false" ht="31.5" hidden="false" customHeight="true" outlineLevel="0" collapsed="false">
      <c r="A27" s="17" t="s">
        <v>184</v>
      </c>
      <c r="B27" s="17" t="s">
        <v>185</v>
      </c>
      <c r="C27" s="17" t="s">
        <v>133</v>
      </c>
      <c r="D27" s="17" t="s">
        <v>196</v>
      </c>
      <c r="E27" s="17" t="s">
        <v>104</v>
      </c>
      <c r="F27" s="16" t="n">
        <v>46997</v>
      </c>
      <c r="G27" s="17" t="s">
        <v>27</v>
      </c>
      <c r="H27" s="20" t="s">
        <v>123</v>
      </c>
      <c r="I27" s="17" t="s">
        <v>197</v>
      </c>
      <c r="J27" s="18" t="s">
        <v>198</v>
      </c>
    </row>
    <row r="28" customFormat="false" ht="31.5" hidden="false" customHeight="true" outlineLevel="0" collapsed="false">
      <c r="A28" s="17" t="s">
        <v>184</v>
      </c>
      <c r="B28" s="17" t="s">
        <v>185</v>
      </c>
      <c r="C28" s="17" t="s">
        <v>137</v>
      </c>
      <c r="D28" s="17" t="s">
        <v>199</v>
      </c>
      <c r="E28" s="17" t="s">
        <v>104</v>
      </c>
      <c r="F28" s="16" t="n">
        <v>47362</v>
      </c>
      <c r="G28" s="17" t="s">
        <v>27</v>
      </c>
      <c r="H28" s="20" t="s">
        <v>123</v>
      </c>
      <c r="I28" s="17" t="s">
        <v>197</v>
      </c>
      <c r="J28" s="18" t="s">
        <v>200</v>
      </c>
    </row>
    <row r="29" customFormat="false" ht="45.75" hidden="false" customHeight="true" outlineLevel="0" collapsed="false">
      <c r="A29" s="17" t="s">
        <v>201</v>
      </c>
      <c r="B29" s="17" t="s">
        <v>202</v>
      </c>
      <c r="C29" s="17" t="s">
        <v>64</v>
      </c>
      <c r="D29" s="17" t="s">
        <v>203</v>
      </c>
      <c r="E29" s="17" t="s">
        <v>118</v>
      </c>
      <c r="F29" s="16"/>
      <c r="G29" s="17" t="s">
        <v>204</v>
      </c>
      <c r="H29" s="20" t="s">
        <v>123</v>
      </c>
      <c r="I29" s="17" t="s">
        <v>205</v>
      </c>
      <c r="J29" s="18" t="s">
        <v>206</v>
      </c>
    </row>
    <row r="30" customFormat="false" ht="31.5" hidden="false" customHeight="true" outlineLevel="0" collapsed="false">
      <c r="A30" s="17" t="s">
        <v>59</v>
      </c>
      <c r="B30" s="17" t="s">
        <v>207</v>
      </c>
      <c r="C30" s="17" t="s">
        <v>64</v>
      </c>
      <c r="D30" s="17" t="s">
        <v>208</v>
      </c>
      <c r="E30" s="17" t="s">
        <v>130</v>
      </c>
      <c r="F30" s="16" t="n">
        <v>46203</v>
      </c>
      <c r="G30" s="17" t="s">
        <v>209</v>
      </c>
      <c r="H30" s="20" t="s">
        <v>105</v>
      </c>
      <c r="I30" s="17" t="s">
        <v>210</v>
      </c>
      <c r="J30" s="18" t="s">
        <v>211</v>
      </c>
    </row>
    <row r="31" customFormat="false" ht="31.5" hidden="false" customHeight="true" outlineLevel="0" collapsed="false">
      <c r="A31" s="17" t="s">
        <v>59</v>
      </c>
      <c r="B31" s="17" t="s">
        <v>207</v>
      </c>
      <c r="C31" s="17" t="s">
        <v>212</v>
      </c>
      <c r="D31" s="17" t="s">
        <v>213</v>
      </c>
      <c r="E31" s="17" t="s">
        <v>113</v>
      </c>
      <c r="F31" s="16"/>
      <c r="G31" s="17" t="s">
        <v>214</v>
      </c>
      <c r="H31" s="20" t="s">
        <v>105</v>
      </c>
      <c r="I31" s="17" t="s">
        <v>215</v>
      </c>
      <c r="J31" s="18" t="s">
        <v>84</v>
      </c>
    </row>
    <row r="32" customFormat="false" ht="31.5" hidden="false" customHeight="true" outlineLevel="0" collapsed="false">
      <c r="A32" s="17" t="s">
        <v>59</v>
      </c>
      <c r="B32" s="17" t="s">
        <v>207</v>
      </c>
      <c r="C32" s="17" t="s">
        <v>216</v>
      </c>
      <c r="D32" s="17" t="s">
        <v>217</v>
      </c>
      <c r="E32" s="17" t="s">
        <v>118</v>
      </c>
      <c r="F32" s="16"/>
      <c r="G32" s="17" t="s">
        <v>218</v>
      </c>
      <c r="H32" s="20" t="s">
        <v>219</v>
      </c>
      <c r="I32" s="17" t="s">
        <v>215</v>
      </c>
      <c r="J32" s="18" t="s">
        <v>85</v>
      </c>
    </row>
    <row r="33" customFormat="false" ht="21" hidden="false" customHeight="true" outlineLevel="0" collapsed="false">
      <c r="A33" s="17" t="s">
        <v>59</v>
      </c>
      <c r="B33" s="17" t="s">
        <v>207</v>
      </c>
      <c r="C33" s="17" t="s">
        <v>220</v>
      </c>
      <c r="D33" s="17" t="s">
        <v>221</v>
      </c>
      <c r="E33" s="17" t="s">
        <v>113</v>
      </c>
      <c r="F33" s="16"/>
      <c r="G33" s="17" t="s">
        <v>222</v>
      </c>
      <c r="H33" s="20" t="s">
        <v>105</v>
      </c>
      <c r="I33" s="17" t="s">
        <v>223</v>
      </c>
      <c r="J33" s="18" t="s">
        <v>86</v>
      </c>
    </row>
    <row r="34" customFormat="false" ht="45.75" hidden="false" customHeight="true" outlineLevel="0" collapsed="false">
      <c r="A34" s="17" t="s">
        <v>59</v>
      </c>
      <c r="B34" s="17" t="s">
        <v>207</v>
      </c>
      <c r="C34" s="17" t="s">
        <v>224</v>
      </c>
      <c r="D34" s="17" t="s">
        <v>225</v>
      </c>
      <c r="E34" s="17" t="s">
        <v>113</v>
      </c>
      <c r="F34" s="16"/>
      <c r="G34" s="17" t="s">
        <v>222</v>
      </c>
      <c r="H34" s="20" t="s">
        <v>105</v>
      </c>
      <c r="I34" s="17" t="s">
        <v>226</v>
      </c>
      <c r="J34" s="18" t="s">
        <v>87</v>
      </c>
    </row>
    <row r="35" customFormat="false" ht="21" hidden="false" customHeight="true" outlineLevel="0" collapsed="false">
      <c r="A35" s="17" t="s">
        <v>59</v>
      </c>
      <c r="B35" s="17" t="s">
        <v>207</v>
      </c>
      <c r="C35" s="17" t="s">
        <v>26</v>
      </c>
      <c r="D35" s="17" t="s">
        <v>178</v>
      </c>
      <c r="E35" s="17" t="s">
        <v>104</v>
      </c>
      <c r="F35" s="16" t="n">
        <v>46748</v>
      </c>
      <c r="G35" s="17" t="s">
        <v>27</v>
      </c>
      <c r="H35" s="20" t="s">
        <v>105</v>
      </c>
      <c r="I35" s="17" t="s">
        <v>227</v>
      </c>
      <c r="J35" s="18" t="s">
        <v>58</v>
      </c>
    </row>
    <row r="36" customFormat="false" ht="21" hidden="false" customHeight="true" outlineLevel="0" collapsed="false">
      <c r="A36" s="17" t="s">
        <v>59</v>
      </c>
      <c r="B36" s="17" t="s">
        <v>207</v>
      </c>
      <c r="C36" s="17" t="s">
        <v>107</v>
      </c>
      <c r="D36" s="17" t="s">
        <v>228</v>
      </c>
      <c r="E36" s="17" t="s">
        <v>104</v>
      </c>
      <c r="F36" s="16" t="n">
        <v>46748</v>
      </c>
      <c r="G36" s="17" t="s">
        <v>27</v>
      </c>
      <c r="H36" s="20" t="s">
        <v>105</v>
      </c>
      <c r="I36" s="17" t="s">
        <v>227</v>
      </c>
      <c r="J36" s="18" t="s">
        <v>229</v>
      </c>
    </row>
    <row r="37" customFormat="false" ht="31.5" hidden="false" customHeight="true" outlineLevel="0" collapsed="false">
      <c r="A37" s="17" t="s">
        <v>31</v>
      </c>
      <c r="B37" s="17" t="s">
        <v>230</v>
      </c>
      <c r="C37" s="17" t="s">
        <v>64</v>
      </c>
      <c r="D37" s="17" t="s">
        <v>231</v>
      </c>
      <c r="E37" s="17" t="s">
        <v>130</v>
      </c>
      <c r="F37" s="16" t="n">
        <v>46339</v>
      </c>
      <c r="G37" s="17" t="s">
        <v>232</v>
      </c>
      <c r="H37" s="20" t="s">
        <v>105</v>
      </c>
      <c r="I37" s="17" t="s">
        <v>233</v>
      </c>
      <c r="J37" s="18" t="s">
        <v>234</v>
      </c>
    </row>
    <row r="38" customFormat="false" ht="21" hidden="false" customHeight="true" outlineLevel="0" collapsed="false">
      <c r="A38" s="17" t="s">
        <v>31</v>
      </c>
      <c r="B38" s="17" t="s">
        <v>230</v>
      </c>
      <c r="C38" s="17" t="s">
        <v>235</v>
      </c>
      <c r="D38" s="17" t="s">
        <v>236</v>
      </c>
      <c r="E38" s="17" t="s">
        <v>130</v>
      </c>
      <c r="F38" s="16" t="n">
        <v>46339</v>
      </c>
      <c r="G38" s="17" t="s">
        <v>237</v>
      </c>
      <c r="H38" s="20" t="s">
        <v>105</v>
      </c>
      <c r="I38" s="17" t="s">
        <v>238</v>
      </c>
      <c r="J38" s="18" t="s">
        <v>239</v>
      </c>
    </row>
    <row r="39" customFormat="false" ht="21" hidden="false" customHeight="true" outlineLevel="0" collapsed="false">
      <c r="A39" s="17" t="s">
        <v>31</v>
      </c>
      <c r="B39" s="17" t="s">
        <v>230</v>
      </c>
      <c r="C39" s="17" t="s">
        <v>26</v>
      </c>
      <c r="D39" s="17" t="s">
        <v>231</v>
      </c>
      <c r="E39" s="17" t="s">
        <v>104</v>
      </c>
      <c r="F39" s="16" t="n">
        <v>46507</v>
      </c>
      <c r="G39" s="17" t="s">
        <v>27</v>
      </c>
      <c r="H39" s="20" t="s">
        <v>105</v>
      </c>
      <c r="I39" s="17" t="s">
        <v>33</v>
      </c>
      <c r="J39" s="18" t="s">
        <v>28</v>
      </c>
    </row>
    <row r="40" customFormat="false" ht="31.5" hidden="false" customHeight="true" outlineLevel="0" collapsed="false">
      <c r="A40" s="17" t="s">
        <v>31</v>
      </c>
      <c r="B40" s="17" t="s">
        <v>230</v>
      </c>
      <c r="C40" s="17" t="s">
        <v>107</v>
      </c>
      <c r="D40" s="17" t="s">
        <v>240</v>
      </c>
      <c r="E40" s="17" t="s">
        <v>104</v>
      </c>
      <c r="F40" s="16" t="n">
        <v>46519</v>
      </c>
      <c r="G40" s="17" t="s">
        <v>27</v>
      </c>
      <c r="H40" s="20" t="s">
        <v>105</v>
      </c>
      <c r="I40" s="17" t="s">
        <v>33</v>
      </c>
      <c r="J40" s="18" t="s">
        <v>241</v>
      </c>
    </row>
    <row r="41" customFormat="false" ht="45.75" hidden="false" customHeight="true" outlineLevel="0" collapsed="false">
      <c r="A41" s="17" t="s">
        <v>31</v>
      </c>
      <c r="B41" s="17" t="s">
        <v>230</v>
      </c>
      <c r="C41" s="17" t="s">
        <v>242</v>
      </c>
      <c r="D41" s="17" t="s">
        <v>243</v>
      </c>
      <c r="E41" s="17" t="s">
        <v>118</v>
      </c>
      <c r="F41" s="16"/>
      <c r="G41" s="17" t="s">
        <v>244</v>
      </c>
      <c r="H41" s="20" t="s">
        <v>105</v>
      </c>
      <c r="I41" s="17" t="s">
        <v>245</v>
      </c>
      <c r="J41" s="18" t="s">
        <v>88</v>
      </c>
    </row>
    <row r="42" customFormat="false" ht="31.5" hidden="false" customHeight="true" outlineLevel="0" collapsed="false">
      <c r="A42" s="17" t="s">
        <v>31</v>
      </c>
      <c r="B42" s="17" t="s">
        <v>230</v>
      </c>
      <c r="C42" s="17" t="s">
        <v>246</v>
      </c>
      <c r="D42" s="17" t="s">
        <v>247</v>
      </c>
      <c r="E42" s="17" t="s">
        <v>113</v>
      </c>
      <c r="F42" s="16"/>
      <c r="G42" s="17" t="s">
        <v>248</v>
      </c>
      <c r="H42" s="20" t="s">
        <v>105</v>
      </c>
      <c r="I42" s="17" t="s">
        <v>249</v>
      </c>
      <c r="J42" s="18" t="s">
        <v>89</v>
      </c>
    </row>
    <row r="43" customFormat="false" ht="31.5" hidden="false" customHeight="true" outlineLevel="0" collapsed="false">
      <c r="A43" s="17" t="s">
        <v>55</v>
      </c>
      <c r="B43" s="17" t="s">
        <v>250</v>
      </c>
      <c r="C43" s="17" t="s">
        <v>29</v>
      </c>
      <c r="D43" s="17" t="s">
        <v>251</v>
      </c>
      <c r="E43" s="17" t="s">
        <v>130</v>
      </c>
      <c r="F43" s="16" t="n">
        <v>46530</v>
      </c>
      <c r="G43" s="17" t="s">
        <v>252</v>
      </c>
      <c r="H43" s="20" t="s">
        <v>105</v>
      </c>
      <c r="I43" s="17" t="s">
        <v>253</v>
      </c>
      <c r="J43" s="18" t="s">
        <v>35</v>
      </c>
    </row>
    <row r="44" customFormat="false" ht="45.75" hidden="false" customHeight="true" outlineLevel="0" collapsed="false">
      <c r="A44" s="17" t="s">
        <v>55</v>
      </c>
      <c r="B44" s="17" t="s">
        <v>250</v>
      </c>
      <c r="C44" s="17" t="s">
        <v>254</v>
      </c>
      <c r="D44" s="17" t="s">
        <v>203</v>
      </c>
      <c r="E44" s="17" t="s">
        <v>130</v>
      </c>
      <c r="F44" s="16" t="n">
        <v>46714</v>
      </c>
      <c r="G44" s="17" t="s">
        <v>255</v>
      </c>
      <c r="H44" s="20" t="s">
        <v>105</v>
      </c>
      <c r="I44" s="17" t="s">
        <v>253</v>
      </c>
      <c r="J44" s="18" t="s">
        <v>256</v>
      </c>
    </row>
    <row r="45" customFormat="false" ht="21" hidden="false" customHeight="true" outlineLevel="0" collapsed="false">
      <c r="A45" s="17" t="s">
        <v>55</v>
      </c>
      <c r="B45" s="17" t="s">
        <v>250</v>
      </c>
      <c r="C45" s="17" t="s">
        <v>26</v>
      </c>
      <c r="D45" s="17" t="s">
        <v>203</v>
      </c>
      <c r="E45" s="17" t="s">
        <v>104</v>
      </c>
      <c r="F45" s="16" t="n">
        <v>46714</v>
      </c>
      <c r="G45" s="17" t="s">
        <v>27</v>
      </c>
      <c r="H45" s="20" t="s">
        <v>105</v>
      </c>
      <c r="I45" s="17" t="s">
        <v>56</v>
      </c>
      <c r="J45" s="18" t="s">
        <v>54</v>
      </c>
    </row>
    <row r="46" customFormat="false" ht="31.5" hidden="false" customHeight="true" outlineLevel="0" collapsed="false">
      <c r="A46" s="17" t="s">
        <v>55</v>
      </c>
      <c r="B46" s="17" t="s">
        <v>250</v>
      </c>
      <c r="C46" s="17" t="s">
        <v>107</v>
      </c>
      <c r="D46" s="17" t="s">
        <v>257</v>
      </c>
      <c r="E46" s="17" t="s">
        <v>104</v>
      </c>
      <c r="F46" s="16" t="n">
        <v>46714</v>
      </c>
      <c r="G46" s="17" t="s">
        <v>27</v>
      </c>
      <c r="H46" s="20" t="s">
        <v>105</v>
      </c>
      <c r="I46" s="17" t="s">
        <v>258</v>
      </c>
      <c r="J46" s="18" t="s">
        <v>259</v>
      </c>
    </row>
    <row r="47" customFormat="false" ht="31.5" hidden="false" customHeight="true" outlineLevel="0" collapsed="false">
      <c r="A47" s="17" t="s">
        <v>55</v>
      </c>
      <c r="B47" s="17" t="s">
        <v>250</v>
      </c>
      <c r="C47" s="17" t="s">
        <v>260</v>
      </c>
      <c r="D47" s="17" t="s">
        <v>261</v>
      </c>
      <c r="E47" s="17" t="s">
        <v>118</v>
      </c>
      <c r="F47" s="16"/>
      <c r="G47" s="17" t="s">
        <v>262</v>
      </c>
      <c r="H47" s="20" t="s">
        <v>105</v>
      </c>
      <c r="I47" s="17" t="s">
        <v>263</v>
      </c>
      <c r="J47" s="18" t="s">
        <v>90</v>
      </c>
    </row>
    <row r="48" customFormat="false" ht="31.5" hidden="false" customHeight="true" outlineLevel="0" collapsed="false">
      <c r="A48" s="17" t="s">
        <v>67</v>
      </c>
      <c r="B48" s="17" t="s">
        <v>230</v>
      </c>
      <c r="C48" s="17" t="s">
        <v>235</v>
      </c>
      <c r="D48" s="17" t="s">
        <v>264</v>
      </c>
      <c r="E48" s="17" t="s">
        <v>130</v>
      </c>
      <c r="F48" s="16" t="n">
        <v>46565</v>
      </c>
      <c r="G48" s="17" t="s">
        <v>265</v>
      </c>
      <c r="H48" s="20" t="s">
        <v>105</v>
      </c>
      <c r="I48" s="17" t="s">
        <v>266</v>
      </c>
      <c r="J48" s="18" t="s">
        <v>39</v>
      </c>
    </row>
    <row r="49" customFormat="false" ht="21" hidden="false" customHeight="true" outlineLevel="0" collapsed="false">
      <c r="A49" s="17" t="s">
        <v>67</v>
      </c>
      <c r="B49" s="17" t="s">
        <v>230</v>
      </c>
      <c r="C49" s="17" t="s">
        <v>26</v>
      </c>
      <c r="D49" s="17" t="s">
        <v>267</v>
      </c>
      <c r="E49" s="17" t="s">
        <v>104</v>
      </c>
      <c r="F49" s="16" t="n">
        <v>46721</v>
      </c>
      <c r="G49" s="17" t="s">
        <v>27</v>
      </c>
      <c r="H49" s="20" t="s">
        <v>105</v>
      </c>
      <c r="I49" s="17" t="s">
        <v>68</v>
      </c>
      <c r="J49" s="18" t="s">
        <v>57</v>
      </c>
    </row>
    <row r="50" customFormat="false" ht="31.5" hidden="false" customHeight="true" outlineLevel="0" collapsed="false">
      <c r="A50" s="17" t="s">
        <v>67</v>
      </c>
      <c r="B50" s="17" t="s">
        <v>230</v>
      </c>
      <c r="C50" s="17" t="s">
        <v>64</v>
      </c>
      <c r="D50" s="17" t="s">
        <v>267</v>
      </c>
      <c r="E50" s="17" t="s">
        <v>130</v>
      </c>
      <c r="F50" s="16" t="n">
        <v>46748</v>
      </c>
      <c r="G50" s="17" t="s">
        <v>65</v>
      </c>
      <c r="H50" s="20" t="s">
        <v>105</v>
      </c>
      <c r="I50" s="17" t="s">
        <v>268</v>
      </c>
      <c r="J50" s="18" t="s">
        <v>66</v>
      </c>
    </row>
    <row r="51" customFormat="false" ht="60" hidden="false" customHeight="true" outlineLevel="0" collapsed="false">
      <c r="A51" s="17" t="s">
        <v>67</v>
      </c>
      <c r="B51" s="17" t="s">
        <v>230</v>
      </c>
      <c r="C51" s="17" t="s">
        <v>242</v>
      </c>
      <c r="D51" s="17" t="s">
        <v>257</v>
      </c>
      <c r="E51" s="17" t="s">
        <v>118</v>
      </c>
      <c r="F51" s="16"/>
      <c r="G51" s="17" t="s">
        <v>269</v>
      </c>
      <c r="H51" s="20" t="s">
        <v>105</v>
      </c>
      <c r="I51" s="17" t="s">
        <v>270</v>
      </c>
      <c r="J51" s="18" t="s">
        <v>91</v>
      </c>
    </row>
    <row r="52" customFormat="false" ht="31.5" hidden="false" customHeight="true" outlineLevel="0" collapsed="false">
      <c r="A52" s="17" t="s">
        <v>271</v>
      </c>
      <c r="B52" s="17" t="s">
        <v>272</v>
      </c>
      <c r="C52" s="17" t="s">
        <v>29</v>
      </c>
      <c r="D52" s="17" t="s">
        <v>174</v>
      </c>
      <c r="E52" s="17" t="s">
        <v>104</v>
      </c>
      <c r="F52" s="16" t="n">
        <v>46507</v>
      </c>
      <c r="G52" s="17" t="s">
        <v>27</v>
      </c>
      <c r="H52" s="20" t="s">
        <v>105</v>
      </c>
      <c r="I52" s="17" t="s">
        <v>273</v>
      </c>
      <c r="J52" s="18" t="s">
        <v>30</v>
      </c>
    </row>
    <row r="53" customFormat="false" ht="31.5" hidden="false" customHeight="true" outlineLevel="0" collapsed="false">
      <c r="A53" s="17" t="s">
        <v>271</v>
      </c>
      <c r="B53" s="17" t="s">
        <v>272</v>
      </c>
      <c r="C53" s="17" t="s">
        <v>274</v>
      </c>
      <c r="D53" s="17" t="s">
        <v>275</v>
      </c>
      <c r="E53" s="17" t="s">
        <v>113</v>
      </c>
      <c r="F53" s="16"/>
      <c r="G53" s="17" t="s">
        <v>222</v>
      </c>
      <c r="H53" s="20" t="s">
        <v>105</v>
      </c>
      <c r="I53" s="17" t="s">
        <v>276</v>
      </c>
      <c r="J53" s="18" t="s">
        <v>92</v>
      </c>
    </row>
    <row r="54" customFormat="false" ht="31.5" hidden="false" customHeight="true" outlineLevel="0" collapsed="false">
      <c r="A54" s="17" t="s">
        <v>271</v>
      </c>
      <c r="B54" s="17" t="s">
        <v>272</v>
      </c>
      <c r="C54" s="17" t="s">
        <v>277</v>
      </c>
      <c r="D54" s="17" t="s">
        <v>278</v>
      </c>
      <c r="E54" s="17" t="s">
        <v>118</v>
      </c>
      <c r="F54" s="16"/>
      <c r="G54" s="17" t="s">
        <v>279</v>
      </c>
      <c r="H54" s="20" t="s">
        <v>105</v>
      </c>
      <c r="I54" s="17" t="s">
        <v>280</v>
      </c>
      <c r="J54" s="18" t="s">
        <v>93</v>
      </c>
    </row>
    <row r="55" customFormat="false" ht="31.5" hidden="false" customHeight="true" outlineLevel="0" collapsed="false">
      <c r="A55" s="17" t="s">
        <v>271</v>
      </c>
      <c r="B55" s="17" t="s">
        <v>272</v>
      </c>
      <c r="C55" s="17" t="s">
        <v>26</v>
      </c>
      <c r="D55" s="17" t="s">
        <v>281</v>
      </c>
      <c r="E55" s="17" t="s">
        <v>104</v>
      </c>
      <c r="F55" s="16" t="n">
        <v>46783</v>
      </c>
      <c r="G55" s="17" t="s">
        <v>27</v>
      </c>
      <c r="H55" s="20" t="s">
        <v>123</v>
      </c>
      <c r="I55" s="17" t="s">
        <v>282</v>
      </c>
      <c r="J55" s="18" t="s">
        <v>283</v>
      </c>
    </row>
    <row r="56" customFormat="false" ht="31.5" hidden="false" customHeight="true" outlineLevel="0" collapsed="false">
      <c r="A56" s="17" t="s">
        <v>271</v>
      </c>
      <c r="B56" s="17" t="s">
        <v>272</v>
      </c>
      <c r="C56" s="17" t="s">
        <v>254</v>
      </c>
      <c r="D56" s="17" t="s">
        <v>203</v>
      </c>
      <c r="E56" s="17" t="s">
        <v>130</v>
      </c>
      <c r="F56" s="16" t="n">
        <v>46873</v>
      </c>
      <c r="G56" s="17" t="s">
        <v>284</v>
      </c>
      <c r="H56" s="20" t="s">
        <v>123</v>
      </c>
      <c r="I56" s="17" t="s">
        <v>273</v>
      </c>
      <c r="J56" s="18" t="s">
        <v>285</v>
      </c>
    </row>
    <row r="57" customFormat="false" ht="31.5" hidden="false" customHeight="true" outlineLevel="0" collapsed="false">
      <c r="A57" s="17" t="s">
        <v>286</v>
      </c>
      <c r="B57" s="17" t="s">
        <v>287</v>
      </c>
      <c r="C57" s="17" t="s">
        <v>288</v>
      </c>
      <c r="D57" s="17" t="s">
        <v>289</v>
      </c>
      <c r="E57" s="17" t="s">
        <v>113</v>
      </c>
      <c r="F57" s="16"/>
      <c r="G57" s="17" t="s">
        <v>290</v>
      </c>
      <c r="H57" s="20" t="s">
        <v>105</v>
      </c>
      <c r="I57" s="17" t="s">
        <v>291</v>
      </c>
      <c r="J57" s="18" t="s">
        <v>94</v>
      </c>
    </row>
    <row r="58" customFormat="false" ht="31.5" hidden="false" customHeight="true" outlineLevel="0" collapsed="false">
      <c r="A58" s="17" t="s">
        <v>286</v>
      </c>
      <c r="B58" s="17" t="s">
        <v>287</v>
      </c>
      <c r="C58" s="17" t="s">
        <v>292</v>
      </c>
      <c r="D58" s="17" t="s">
        <v>293</v>
      </c>
      <c r="E58" s="17" t="s">
        <v>130</v>
      </c>
      <c r="F58" s="16" t="n">
        <v>46539</v>
      </c>
      <c r="G58" s="17" t="s">
        <v>294</v>
      </c>
      <c r="H58" s="20" t="s">
        <v>105</v>
      </c>
      <c r="I58" s="17" t="s">
        <v>295</v>
      </c>
      <c r="J58" s="18" t="s">
        <v>296</v>
      </c>
    </row>
    <row r="59" customFormat="false" ht="31.5" hidden="false" customHeight="true" outlineLevel="0" collapsed="false">
      <c r="A59" s="17" t="s">
        <v>286</v>
      </c>
      <c r="B59" s="17" t="s">
        <v>287</v>
      </c>
      <c r="C59" s="17" t="s">
        <v>297</v>
      </c>
      <c r="D59" s="17" t="s">
        <v>298</v>
      </c>
      <c r="E59" s="17" t="s">
        <v>104</v>
      </c>
      <c r="F59" s="16" t="n">
        <v>46914</v>
      </c>
      <c r="G59" s="17" t="s">
        <v>27</v>
      </c>
      <c r="H59" s="20" t="s">
        <v>123</v>
      </c>
      <c r="I59" s="17" t="s">
        <v>299</v>
      </c>
      <c r="J59" s="18" t="s">
        <v>300</v>
      </c>
    </row>
    <row r="60" customFormat="false" ht="31.5" hidden="false" customHeight="true" outlineLevel="0" collapsed="false">
      <c r="A60" s="17" t="s">
        <v>286</v>
      </c>
      <c r="B60" s="17" t="s">
        <v>287</v>
      </c>
      <c r="C60" s="17" t="s">
        <v>301</v>
      </c>
      <c r="D60" s="17" t="s">
        <v>302</v>
      </c>
      <c r="E60" s="17" t="s">
        <v>104</v>
      </c>
      <c r="F60" s="16" t="n">
        <v>46914</v>
      </c>
      <c r="G60" s="17" t="s">
        <v>27</v>
      </c>
      <c r="H60" s="20" t="s">
        <v>123</v>
      </c>
      <c r="I60" s="17" t="s">
        <v>299</v>
      </c>
      <c r="J60" s="18" t="s">
        <v>303</v>
      </c>
    </row>
    <row r="61" customFormat="false" ht="31.5" hidden="false" customHeight="true" outlineLevel="0" collapsed="false">
      <c r="A61" s="17" t="s">
        <v>286</v>
      </c>
      <c r="B61" s="17" t="s">
        <v>287</v>
      </c>
      <c r="C61" s="17" t="s">
        <v>304</v>
      </c>
      <c r="D61" s="17" t="s">
        <v>305</v>
      </c>
      <c r="E61" s="17" t="s">
        <v>104</v>
      </c>
      <c r="F61" s="16" t="n">
        <v>47279</v>
      </c>
      <c r="G61" s="17" t="s">
        <v>27</v>
      </c>
      <c r="H61" s="20" t="s">
        <v>123</v>
      </c>
      <c r="I61" s="17" t="s">
        <v>306</v>
      </c>
      <c r="J61" s="18" t="s">
        <v>307</v>
      </c>
    </row>
    <row r="62" customFormat="false" ht="31.5" hidden="false" customHeight="true" outlineLevel="0" collapsed="false">
      <c r="A62" s="17" t="s">
        <v>286</v>
      </c>
      <c r="B62" s="17" t="s">
        <v>287</v>
      </c>
      <c r="C62" s="17" t="s">
        <v>308</v>
      </c>
      <c r="D62" s="17" t="s">
        <v>309</v>
      </c>
      <c r="E62" s="17" t="s">
        <v>104</v>
      </c>
      <c r="F62" s="16" t="n">
        <v>47279</v>
      </c>
      <c r="G62" s="17" t="s">
        <v>27</v>
      </c>
      <c r="H62" s="20" t="s">
        <v>123</v>
      </c>
      <c r="I62" s="17" t="s">
        <v>306</v>
      </c>
      <c r="J62" s="18" t="s">
        <v>310</v>
      </c>
    </row>
    <row r="63" customFormat="false" ht="31.5" hidden="false" customHeight="true" outlineLevel="0" collapsed="false">
      <c r="A63" s="17" t="s">
        <v>311</v>
      </c>
      <c r="B63" s="17" t="s">
        <v>312</v>
      </c>
      <c r="C63" s="17" t="s">
        <v>288</v>
      </c>
      <c r="D63" s="17" t="s">
        <v>289</v>
      </c>
      <c r="E63" s="17" t="s">
        <v>130</v>
      </c>
      <c r="F63" s="16" t="n">
        <v>46853</v>
      </c>
      <c r="G63" s="17" t="s">
        <v>313</v>
      </c>
      <c r="H63" s="20" t="s">
        <v>123</v>
      </c>
      <c r="I63" s="17" t="s">
        <v>291</v>
      </c>
      <c r="J63" s="18" t="s">
        <v>314</v>
      </c>
    </row>
    <row r="64" customFormat="false" ht="31.5" hidden="false" customHeight="true" outlineLevel="0" collapsed="false">
      <c r="A64" s="17" t="s">
        <v>311</v>
      </c>
      <c r="B64" s="17" t="s">
        <v>312</v>
      </c>
      <c r="C64" s="17" t="s">
        <v>297</v>
      </c>
      <c r="D64" s="17" t="s">
        <v>298</v>
      </c>
      <c r="E64" s="17" t="s">
        <v>104</v>
      </c>
      <c r="F64" s="16" t="n">
        <v>47401</v>
      </c>
      <c r="G64" s="17" t="s">
        <v>27</v>
      </c>
      <c r="H64" s="20" t="s">
        <v>123</v>
      </c>
      <c r="I64" s="17" t="s">
        <v>299</v>
      </c>
      <c r="J64" s="18" t="s">
        <v>315</v>
      </c>
    </row>
    <row r="65" customFormat="false" ht="31.5" hidden="false" customHeight="true" outlineLevel="0" collapsed="false">
      <c r="A65" s="17" t="s">
        <v>311</v>
      </c>
      <c r="B65" s="17" t="s">
        <v>312</v>
      </c>
      <c r="C65" s="17" t="s">
        <v>301</v>
      </c>
      <c r="D65" s="17" t="s">
        <v>316</v>
      </c>
      <c r="E65" s="17" t="s">
        <v>104</v>
      </c>
      <c r="F65" s="16" t="n">
        <v>47401</v>
      </c>
      <c r="G65" s="17" t="s">
        <v>27</v>
      </c>
      <c r="H65" s="20" t="s">
        <v>123</v>
      </c>
      <c r="I65" s="17" t="s">
        <v>299</v>
      </c>
      <c r="J65" s="18" t="s">
        <v>317</v>
      </c>
    </row>
    <row r="66" customFormat="false" ht="31.5" hidden="false" customHeight="true" outlineLevel="0" collapsed="false">
      <c r="A66" s="17" t="s">
        <v>311</v>
      </c>
      <c r="B66" s="17" t="s">
        <v>312</v>
      </c>
      <c r="C66" s="17" t="s">
        <v>304</v>
      </c>
      <c r="D66" s="17" t="s">
        <v>318</v>
      </c>
      <c r="E66" s="17" t="s">
        <v>104</v>
      </c>
      <c r="F66" s="16" t="n">
        <v>47766</v>
      </c>
      <c r="G66" s="17" t="s">
        <v>27</v>
      </c>
      <c r="H66" s="20" t="s">
        <v>123</v>
      </c>
      <c r="I66" s="17" t="s">
        <v>306</v>
      </c>
      <c r="J66" s="18" t="s">
        <v>319</v>
      </c>
    </row>
    <row r="67" customFormat="false" ht="31.5" hidden="false" customHeight="true" outlineLevel="0" collapsed="false">
      <c r="A67" s="17" t="s">
        <v>311</v>
      </c>
      <c r="B67" s="17" t="s">
        <v>312</v>
      </c>
      <c r="C67" s="17" t="s">
        <v>308</v>
      </c>
      <c r="D67" s="17" t="s">
        <v>320</v>
      </c>
      <c r="E67" s="17" t="s">
        <v>104</v>
      </c>
      <c r="F67" s="16" t="n">
        <v>47766</v>
      </c>
      <c r="G67" s="17" t="s">
        <v>27</v>
      </c>
      <c r="H67" s="20" t="s">
        <v>123</v>
      </c>
      <c r="I67" s="17" t="s">
        <v>306</v>
      </c>
      <c r="J67" s="18" t="s">
        <v>321</v>
      </c>
    </row>
    <row r="68" customFormat="false" ht="31.5" hidden="false" customHeight="true" outlineLevel="0" collapsed="false">
      <c r="A68" s="17" t="s">
        <v>322</v>
      </c>
      <c r="B68" s="17" t="s">
        <v>323</v>
      </c>
      <c r="C68" s="17" t="s">
        <v>26</v>
      </c>
      <c r="D68" s="17" t="s">
        <v>324</v>
      </c>
      <c r="E68" s="17" t="s">
        <v>104</v>
      </c>
      <c r="F68" s="16" t="n">
        <v>47280</v>
      </c>
      <c r="G68" s="17" t="s">
        <v>27</v>
      </c>
      <c r="H68" s="20" t="s">
        <v>123</v>
      </c>
      <c r="I68" s="17" t="s">
        <v>325</v>
      </c>
      <c r="J68" s="18" t="s">
        <v>326</v>
      </c>
    </row>
    <row r="69" customFormat="false" ht="31.5" hidden="false" customHeight="true" outlineLevel="0" collapsed="false">
      <c r="A69" s="17" t="s">
        <v>322</v>
      </c>
      <c r="B69" s="17" t="s">
        <v>323</v>
      </c>
      <c r="C69" s="17" t="s">
        <v>107</v>
      </c>
      <c r="D69" s="17" t="s">
        <v>327</v>
      </c>
      <c r="E69" s="17" t="s">
        <v>104</v>
      </c>
      <c r="F69" s="16" t="n">
        <v>47280</v>
      </c>
      <c r="G69" s="17" t="s">
        <v>27</v>
      </c>
      <c r="H69" s="20" t="s">
        <v>123</v>
      </c>
      <c r="I69" s="17" t="s">
        <v>325</v>
      </c>
      <c r="J69" s="18" t="s">
        <v>328</v>
      </c>
    </row>
    <row r="70" customFormat="false" ht="31.5" hidden="false" customHeight="true" outlineLevel="0" collapsed="false">
      <c r="A70" s="17" t="s">
        <v>322</v>
      </c>
      <c r="B70" s="17" t="s">
        <v>323</v>
      </c>
      <c r="C70" s="17" t="s">
        <v>64</v>
      </c>
      <c r="D70" s="17" t="s">
        <v>203</v>
      </c>
      <c r="E70" s="17" t="s">
        <v>130</v>
      </c>
      <c r="F70" s="16" t="n">
        <v>47483</v>
      </c>
      <c r="G70" s="17" t="s">
        <v>329</v>
      </c>
      <c r="H70" s="20" t="s">
        <v>123</v>
      </c>
      <c r="I70" s="17" t="s">
        <v>330</v>
      </c>
      <c r="J70" s="18" t="s">
        <v>331</v>
      </c>
    </row>
    <row r="71" customFormat="false" ht="45.75" hidden="false" customHeight="true" outlineLevel="0" collapsed="false">
      <c r="A71" s="17" t="s">
        <v>332</v>
      </c>
      <c r="B71" s="17" t="s">
        <v>102</v>
      </c>
      <c r="C71" s="17" t="s">
        <v>111</v>
      </c>
      <c r="D71" s="17" t="s">
        <v>112</v>
      </c>
      <c r="E71" s="17" t="s">
        <v>113</v>
      </c>
      <c r="F71" s="16"/>
      <c r="G71" s="17" t="s">
        <v>114</v>
      </c>
      <c r="H71" s="20" t="s">
        <v>105</v>
      </c>
      <c r="I71" s="17" t="s">
        <v>115</v>
      </c>
      <c r="J71" s="18" t="s">
        <v>95</v>
      </c>
    </row>
    <row r="72" customFormat="false" ht="45.75" hidden="false" customHeight="true" outlineLevel="0" collapsed="false">
      <c r="A72" s="17" t="s">
        <v>332</v>
      </c>
      <c r="B72" s="17" t="s">
        <v>102</v>
      </c>
      <c r="C72" s="17" t="s">
        <v>116</v>
      </c>
      <c r="D72" s="17" t="s">
        <v>117</v>
      </c>
      <c r="E72" s="17" t="s">
        <v>118</v>
      </c>
      <c r="F72" s="16"/>
      <c r="G72" s="17" t="s">
        <v>119</v>
      </c>
      <c r="H72" s="20" t="s">
        <v>105</v>
      </c>
      <c r="I72" s="17" t="s">
        <v>120</v>
      </c>
      <c r="J72" s="18" t="s">
        <v>96</v>
      </c>
    </row>
    <row r="73" customFormat="false" ht="31.5" hidden="false" customHeight="true" outlineLevel="0" collapsed="false">
      <c r="A73" s="17" t="s">
        <v>332</v>
      </c>
      <c r="B73" s="17" t="s">
        <v>102</v>
      </c>
      <c r="C73" s="17" t="s">
        <v>47</v>
      </c>
      <c r="D73" s="17" t="s">
        <v>333</v>
      </c>
      <c r="E73" s="17" t="s">
        <v>104</v>
      </c>
      <c r="F73" s="16" t="n">
        <v>47233</v>
      </c>
      <c r="G73" s="17" t="s">
        <v>27</v>
      </c>
      <c r="H73" s="20" t="s">
        <v>123</v>
      </c>
      <c r="I73" s="17" t="s">
        <v>106</v>
      </c>
      <c r="J73" s="18" t="s">
        <v>334</v>
      </c>
    </row>
    <row r="74" customFormat="false" ht="21" hidden="false" customHeight="true" outlineLevel="0" collapsed="false">
      <c r="A74" s="17" t="s">
        <v>332</v>
      </c>
      <c r="B74" s="17" t="s">
        <v>102</v>
      </c>
      <c r="C74" s="17" t="s">
        <v>107</v>
      </c>
      <c r="D74" s="17" t="s">
        <v>108</v>
      </c>
      <c r="E74" s="17" t="s">
        <v>104</v>
      </c>
      <c r="F74" s="16" t="n">
        <v>47233</v>
      </c>
      <c r="G74" s="17" t="s">
        <v>27</v>
      </c>
      <c r="H74" s="20" t="s">
        <v>123</v>
      </c>
      <c r="I74" s="17" t="s">
        <v>109</v>
      </c>
      <c r="J74" s="18" t="s">
        <v>335</v>
      </c>
    </row>
    <row r="75" customFormat="false" ht="31.5" hidden="false" customHeight="true" outlineLevel="0" collapsed="false">
      <c r="A75" s="17" t="s">
        <v>336</v>
      </c>
      <c r="B75" s="17" t="s">
        <v>337</v>
      </c>
      <c r="C75" s="17" t="s">
        <v>338</v>
      </c>
      <c r="D75" s="17" t="s">
        <v>203</v>
      </c>
      <c r="E75" s="17" t="s">
        <v>104</v>
      </c>
      <c r="F75" s="16" t="n">
        <v>47245</v>
      </c>
      <c r="G75" s="17" t="s">
        <v>27</v>
      </c>
      <c r="H75" s="20" t="s">
        <v>123</v>
      </c>
      <c r="I75" s="17" t="s">
        <v>339</v>
      </c>
      <c r="J75" s="18" t="s">
        <v>340</v>
      </c>
    </row>
    <row r="76" customFormat="false" ht="31.5" hidden="false" customHeight="true" outlineLevel="0" collapsed="false">
      <c r="A76" s="17" t="s">
        <v>336</v>
      </c>
      <c r="B76" s="17" t="s">
        <v>337</v>
      </c>
      <c r="C76" s="17" t="s">
        <v>341</v>
      </c>
      <c r="D76" s="17" t="s">
        <v>257</v>
      </c>
      <c r="E76" s="17" t="s">
        <v>104</v>
      </c>
      <c r="F76" s="16" t="n">
        <v>47245</v>
      </c>
      <c r="G76" s="17" t="s">
        <v>27</v>
      </c>
      <c r="H76" s="20" t="s">
        <v>123</v>
      </c>
      <c r="I76" s="17" t="s">
        <v>339</v>
      </c>
      <c r="J76" s="18" t="s">
        <v>342</v>
      </c>
    </row>
    <row r="77" customFormat="false" ht="45.75" hidden="false" customHeight="true" outlineLevel="0" collapsed="false">
      <c r="A77" s="17" t="s">
        <v>336</v>
      </c>
      <c r="B77" s="17" t="s">
        <v>337</v>
      </c>
      <c r="C77" s="17" t="s">
        <v>64</v>
      </c>
      <c r="D77" s="17" t="s">
        <v>178</v>
      </c>
      <c r="E77" s="17" t="s">
        <v>118</v>
      </c>
      <c r="F77" s="16"/>
      <c r="G77" s="17" t="s">
        <v>343</v>
      </c>
      <c r="H77" s="20" t="s">
        <v>123</v>
      </c>
      <c r="I77" s="17" t="s">
        <v>344</v>
      </c>
      <c r="J77" s="18" t="s">
        <v>345</v>
      </c>
    </row>
    <row r="78" customFormat="false" ht="21" hidden="false" customHeight="true" outlineLevel="0" collapsed="false">
      <c r="A78" s="17" t="s">
        <v>346</v>
      </c>
      <c r="B78" s="17" t="s">
        <v>202</v>
      </c>
      <c r="C78" s="17" t="s">
        <v>64</v>
      </c>
      <c r="D78" s="17" t="s">
        <v>231</v>
      </c>
      <c r="E78" s="17" t="s">
        <v>104</v>
      </c>
      <c r="F78" s="16" t="n">
        <v>46752</v>
      </c>
      <c r="G78" s="17" t="s">
        <v>27</v>
      </c>
      <c r="H78" s="20" t="s">
        <v>105</v>
      </c>
      <c r="I78" s="17" t="s">
        <v>347</v>
      </c>
      <c r="J78" s="18" t="s">
        <v>69</v>
      </c>
    </row>
    <row r="79" customFormat="false" ht="21" hidden="false" customHeight="true" outlineLevel="0" collapsed="false">
      <c r="A79" s="17" t="s">
        <v>346</v>
      </c>
      <c r="B79" s="17" t="s">
        <v>202</v>
      </c>
      <c r="C79" s="17" t="s">
        <v>26</v>
      </c>
      <c r="D79" s="17" t="s">
        <v>203</v>
      </c>
      <c r="E79" s="17" t="s">
        <v>104</v>
      </c>
      <c r="F79" s="16" t="n">
        <v>46904</v>
      </c>
      <c r="G79" s="17" t="s">
        <v>27</v>
      </c>
      <c r="H79" s="20" t="s">
        <v>123</v>
      </c>
      <c r="I79" s="17" t="s">
        <v>348</v>
      </c>
      <c r="J79" s="18" t="s">
        <v>349</v>
      </c>
    </row>
    <row r="80" customFormat="false" ht="31.5" hidden="false" customHeight="true" outlineLevel="0" collapsed="false">
      <c r="A80" s="17" t="s">
        <v>350</v>
      </c>
      <c r="B80" s="17" t="s">
        <v>230</v>
      </c>
      <c r="C80" s="17" t="s">
        <v>64</v>
      </c>
      <c r="D80" s="17" t="s">
        <v>203</v>
      </c>
      <c r="E80" s="17" t="s">
        <v>130</v>
      </c>
      <c r="F80" s="16" t="n">
        <v>47250</v>
      </c>
      <c r="G80" s="17" t="s">
        <v>351</v>
      </c>
      <c r="H80" s="20" t="s">
        <v>123</v>
      </c>
      <c r="I80" s="17" t="s">
        <v>268</v>
      </c>
      <c r="J80" s="18" t="s">
        <v>352</v>
      </c>
    </row>
    <row r="81" customFormat="false" ht="21" hidden="false" customHeight="true" outlineLevel="0" collapsed="false">
      <c r="A81" s="17" t="s">
        <v>350</v>
      </c>
      <c r="B81" s="17" t="s">
        <v>230</v>
      </c>
      <c r="C81" s="17" t="s">
        <v>26</v>
      </c>
      <c r="D81" s="17" t="s">
        <v>203</v>
      </c>
      <c r="E81" s="17" t="s">
        <v>104</v>
      </c>
      <c r="F81" s="16" t="n">
        <v>47238</v>
      </c>
      <c r="G81" s="17" t="s">
        <v>27</v>
      </c>
      <c r="H81" s="20" t="s">
        <v>123</v>
      </c>
      <c r="I81" s="17" t="s">
        <v>33</v>
      </c>
      <c r="J81" s="18" t="s">
        <v>353</v>
      </c>
    </row>
    <row r="82" customFormat="false" ht="45.75" hidden="false" customHeight="true" outlineLevel="0" collapsed="false">
      <c r="A82" s="17" t="s">
        <v>350</v>
      </c>
      <c r="B82" s="17" t="s">
        <v>230</v>
      </c>
      <c r="C82" s="17" t="s">
        <v>242</v>
      </c>
      <c r="D82" s="17" t="s">
        <v>354</v>
      </c>
      <c r="E82" s="17" t="s">
        <v>118</v>
      </c>
      <c r="F82" s="16"/>
      <c r="G82" s="17" t="s">
        <v>244</v>
      </c>
      <c r="H82" s="20" t="s">
        <v>123</v>
      </c>
      <c r="I82" s="17" t="s">
        <v>270</v>
      </c>
      <c r="J82" s="18" t="s">
        <v>355</v>
      </c>
    </row>
    <row r="83" customFormat="false" ht="31.5" hidden="false" customHeight="true" outlineLevel="0" collapsed="false">
      <c r="A83" s="17" t="s">
        <v>356</v>
      </c>
      <c r="B83" s="17" t="s">
        <v>357</v>
      </c>
      <c r="C83" s="17" t="s">
        <v>26</v>
      </c>
      <c r="D83" s="17" t="s">
        <v>267</v>
      </c>
      <c r="E83" s="17" t="s">
        <v>104</v>
      </c>
      <c r="F83" s="16" t="n">
        <v>46978</v>
      </c>
      <c r="G83" s="17" t="s">
        <v>358</v>
      </c>
      <c r="H83" s="20" t="s">
        <v>123</v>
      </c>
      <c r="I83" s="17" t="s">
        <v>359</v>
      </c>
      <c r="J83" s="18" t="s">
        <v>360</v>
      </c>
    </row>
    <row r="84" customFormat="false" ht="21" hidden="false" customHeight="true" outlineLevel="0" collapsed="false">
      <c r="A84" s="17" t="s">
        <v>356</v>
      </c>
      <c r="B84" s="17" t="s">
        <v>357</v>
      </c>
      <c r="C84" s="17" t="s">
        <v>107</v>
      </c>
      <c r="D84" s="17" t="s">
        <v>361</v>
      </c>
      <c r="E84" s="17" t="s">
        <v>104</v>
      </c>
      <c r="F84" s="16" t="n">
        <v>46978</v>
      </c>
      <c r="G84" s="17" t="s">
        <v>27</v>
      </c>
      <c r="H84" s="20" t="s">
        <v>123</v>
      </c>
      <c r="I84" s="17" t="s">
        <v>359</v>
      </c>
      <c r="J84" s="18" t="s">
        <v>362</v>
      </c>
    </row>
    <row r="85" customFormat="false" ht="31.5" hidden="false" customHeight="true" outlineLevel="0" collapsed="false">
      <c r="A85" s="17" t="s">
        <v>356</v>
      </c>
      <c r="B85" s="17" t="s">
        <v>357</v>
      </c>
      <c r="C85" s="17" t="s">
        <v>64</v>
      </c>
      <c r="D85" s="17" t="s">
        <v>363</v>
      </c>
      <c r="E85" s="17" t="s">
        <v>130</v>
      </c>
      <c r="F85" s="16" t="n">
        <v>47118</v>
      </c>
      <c r="G85" s="17" t="s">
        <v>364</v>
      </c>
      <c r="H85" s="20" t="s">
        <v>123</v>
      </c>
      <c r="I85" s="17" t="s">
        <v>365</v>
      </c>
      <c r="J85" s="18" t="s">
        <v>366</v>
      </c>
    </row>
    <row r="86" customFormat="false" ht="45.75" hidden="false" customHeight="true" outlineLevel="0" collapsed="false">
      <c r="A86" s="17" t="s">
        <v>367</v>
      </c>
      <c r="B86" s="17" t="s">
        <v>368</v>
      </c>
      <c r="C86" s="17" t="s">
        <v>26</v>
      </c>
      <c r="D86" s="17" t="s">
        <v>267</v>
      </c>
      <c r="E86" s="17" t="s">
        <v>104</v>
      </c>
      <c r="F86" s="16" t="n">
        <v>47202</v>
      </c>
      <c r="G86" s="17" t="s">
        <v>369</v>
      </c>
      <c r="H86" s="20" t="s">
        <v>123</v>
      </c>
      <c r="I86" s="17" t="s">
        <v>359</v>
      </c>
      <c r="J86" s="18" t="s">
        <v>370</v>
      </c>
    </row>
    <row r="87" customFormat="false" ht="21" hidden="false" customHeight="true" outlineLevel="0" collapsed="false">
      <c r="A87" s="17" t="s">
        <v>367</v>
      </c>
      <c r="B87" s="17" t="s">
        <v>368</v>
      </c>
      <c r="C87" s="17" t="s">
        <v>107</v>
      </c>
      <c r="D87" s="17" t="s">
        <v>361</v>
      </c>
      <c r="E87" s="17" t="s">
        <v>104</v>
      </c>
      <c r="F87" s="16" t="n">
        <v>47202</v>
      </c>
      <c r="G87" s="17" t="s">
        <v>27</v>
      </c>
      <c r="H87" s="20" t="s">
        <v>123</v>
      </c>
      <c r="I87" s="17" t="s">
        <v>359</v>
      </c>
      <c r="J87" s="18" t="s">
        <v>371</v>
      </c>
    </row>
    <row r="88" customFormat="false" ht="31.5" hidden="false" customHeight="true" outlineLevel="0" collapsed="false">
      <c r="A88" s="17" t="s">
        <v>367</v>
      </c>
      <c r="B88" s="17" t="s">
        <v>368</v>
      </c>
      <c r="C88" s="17" t="s">
        <v>64</v>
      </c>
      <c r="D88" s="17" t="s">
        <v>363</v>
      </c>
      <c r="E88" s="17" t="s">
        <v>130</v>
      </c>
      <c r="F88" s="16" t="n">
        <v>47299</v>
      </c>
      <c r="G88" s="17" t="s">
        <v>364</v>
      </c>
      <c r="H88" s="20" t="s">
        <v>123</v>
      </c>
      <c r="I88" s="17" t="s">
        <v>365</v>
      </c>
      <c r="J88" s="18" t="s">
        <v>372</v>
      </c>
    </row>
    <row r="89" customFormat="false" ht="31.5" hidden="false" customHeight="true" outlineLevel="0" collapsed="false">
      <c r="A89" s="17" t="s">
        <v>373</v>
      </c>
      <c r="B89" s="17" t="s">
        <v>337</v>
      </c>
      <c r="C89" s="17" t="s">
        <v>338</v>
      </c>
      <c r="D89" s="17" t="s">
        <v>203</v>
      </c>
      <c r="E89" s="17" t="s">
        <v>104</v>
      </c>
      <c r="F89" s="16" t="n">
        <v>47349</v>
      </c>
      <c r="G89" s="17" t="s">
        <v>27</v>
      </c>
      <c r="H89" s="20" t="s">
        <v>123</v>
      </c>
      <c r="I89" s="17" t="s">
        <v>339</v>
      </c>
      <c r="J89" s="18" t="s">
        <v>374</v>
      </c>
    </row>
    <row r="90" customFormat="false" ht="31.5" hidden="false" customHeight="true" outlineLevel="0" collapsed="false">
      <c r="A90" s="17" t="s">
        <v>373</v>
      </c>
      <c r="B90" s="17" t="s">
        <v>337</v>
      </c>
      <c r="C90" s="17" t="s">
        <v>341</v>
      </c>
      <c r="D90" s="17" t="s">
        <v>257</v>
      </c>
      <c r="E90" s="17" t="s">
        <v>104</v>
      </c>
      <c r="F90" s="16" t="n">
        <v>47349</v>
      </c>
      <c r="G90" s="17" t="s">
        <v>27</v>
      </c>
      <c r="H90" s="20" t="s">
        <v>123</v>
      </c>
      <c r="I90" s="17" t="s">
        <v>339</v>
      </c>
      <c r="J90" s="18" t="s">
        <v>375</v>
      </c>
    </row>
    <row r="91" customFormat="false" ht="45.75" hidden="false" customHeight="true" outlineLevel="0" collapsed="false">
      <c r="A91" s="17" t="s">
        <v>373</v>
      </c>
      <c r="B91" s="17" t="s">
        <v>337</v>
      </c>
      <c r="C91" s="17" t="s">
        <v>64</v>
      </c>
      <c r="D91" s="17" t="s">
        <v>203</v>
      </c>
      <c r="E91" s="17" t="s">
        <v>118</v>
      </c>
      <c r="F91" s="16"/>
      <c r="G91" s="17" t="s">
        <v>343</v>
      </c>
      <c r="H91" s="20" t="s">
        <v>123</v>
      </c>
      <c r="I91" s="17" t="s">
        <v>344</v>
      </c>
      <c r="J91" s="18" t="s">
        <v>376</v>
      </c>
    </row>
    <row r="92" customFormat="false" ht="45.75" hidden="false" customHeight="true" outlineLevel="0" collapsed="false">
      <c r="A92" s="17" t="s">
        <v>377</v>
      </c>
      <c r="B92" s="17" t="s">
        <v>378</v>
      </c>
      <c r="C92" s="17" t="s">
        <v>379</v>
      </c>
      <c r="D92" s="17" t="s">
        <v>380</v>
      </c>
      <c r="E92" s="17" t="s">
        <v>113</v>
      </c>
      <c r="F92" s="16"/>
      <c r="G92" s="17" t="s">
        <v>381</v>
      </c>
      <c r="H92" s="20" t="s">
        <v>105</v>
      </c>
      <c r="I92" s="17" t="s">
        <v>339</v>
      </c>
      <c r="J92" s="18" t="s">
        <v>97</v>
      </c>
    </row>
    <row r="93" customFormat="false" ht="31.5" hidden="false" customHeight="true" outlineLevel="0" collapsed="false">
      <c r="A93" s="17" t="s">
        <v>377</v>
      </c>
      <c r="B93" s="17" t="s">
        <v>378</v>
      </c>
      <c r="C93" s="17" t="s">
        <v>382</v>
      </c>
      <c r="D93" s="17" t="s">
        <v>231</v>
      </c>
      <c r="E93" s="17" t="s">
        <v>104</v>
      </c>
      <c r="F93" s="16"/>
      <c r="G93" s="17" t="s">
        <v>383</v>
      </c>
      <c r="H93" s="20" t="s">
        <v>123</v>
      </c>
      <c r="I93" s="17" t="s">
        <v>384</v>
      </c>
      <c r="J93" s="18" t="s">
        <v>385</v>
      </c>
    </row>
    <row r="94" customFormat="false" ht="31.5" hidden="false" customHeight="true" outlineLevel="0" collapsed="false">
      <c r="A94" s="17" t="s">
        <v>377</v>
      </c>
      <c r="B94" s="17" t="s">
        <v>378</v>
      </c>
      <c r="C94" s="17" t="s">
        <v>386</v>
      </c>
      <c r="D94" s="17" t="s">
        <v>203</v>
      </c>
      <c r="E94" s="17" t="s">
        <v>104</v>
      </c>
      <c r="F94" s="16"/>
      <c r="G94" s="17" t="s">
        <v>387</v>
      </c>
      <c r="H94" s="20" t="s">
        <v>123</v>
      </c>
      <c r="I94" s="17" t="s">
        <v>388</v>
      </c>
      <c r="J94" s="18" t="s">
        <v>389</v>
      </c>
    </row>
    <row r="95" customFormat="false" ht="31.5" hidden="false" customHeight="true" outlineLevel="0" collapsed="false">
      <c r="A95" s="17" t="s">
        <v>377</v>
      </c>
      <c r="B95" s="17" t="s">
        <v>378</v>
      </c>
      <c r="C95" s="17" t="s">
        <v>277</v>
      </c>
      <c r="D95" s="17" t="s">
        <v>390</v>
      </c>
      <c r="E95" s="17" t="s">
        <v>118</v>
      </c>
      <c r="F95" s="16"/>
      <c r="G95" s="17" t="s">
        <v>391</v>
      </c>
      <c r="H95" s="20" t="s">
        <v>123</v>
      </c>
      <c r="I95" s="17" t="s">
        <v>392</v>
      </c>
      <c r="J95" s="18" t="s">
        <v>393</v>
      </c>
    </row>
    <row r="96" customFormat="false" ht="31.5" hidden="false" customHeight="true" outlineLevel="0" collapsed="false">
      <c r="A96" s="17" t="s">
        <v>394</v>
      </c>
      <c r="B96" s="17" t="s">
        <v>395</v>
      </c>
      <c r="C96" s="17" t="s">
        <v>26</v>
      </c>
      <c r="D96" s="17" t="s">
        <v>396</v>
      </c>
      <c r="E96" s="17" t="s">
        <v>104</v>
      </c>
      <c r="F96" s="16" t="n">
        <v>47087</v>
      </c>
      <c r="G96" s="17" t="s">
        <v>27</v>
      </c>
      <c r="H96" s="20" t="s">
        <v>123</v>
      </c>
      <c r="I96" s="17" t="s">
        <v>397</v>
      </c>
      <c r="J96" s="18" t="s">
        <v>398</v>
      </c>
    </row>
    <row r="97" customFormat="false" ht="31.5" hidden="false" customHeight="true" outlineLevel="0" collapsed="false">
      <c r="A97" s="17" t="s">
        <v>394</v>
      </c>
      <c r="B97" s="17" t="s">
        <v>395</v>
      </c>
      <c r="C97" s="17" t="s">
        <v>64</v>
      </c>
      <c r="D97" s="17" t="s">
        <v>399</v>
      </c>
      <c r="E97" s="17" t="s">
        <v>130</v>
      </c>
      <c r="F97" s="16" t="n">
        <v>47118</v>
      </c>
      <c r="G97" s="17" t="s">
        <v>329</v>
      </c>
      <c r="H97" s="20" t="s">
        <v>123</v>
      </c>
      <c r="I97" s="17" t="s">
        <v>400</v>
      </c>
      <c r="J97" s="18" t="s">
        <v>401</v>
      </c>
    </row>
    <row r="98" customFormat="false" ht="31.5" hidden="false" customHeight="true" outlineLevel="0" collapsed="false">
      <c r="A98" s="17" t="s">
        <v>402</v>
      </c>
      <c r="B98" s="17" t="s">
        <v>250</v>
      </c>
      <c r="C98" s="17" t="s">
        <v>29</v>
      </c>
      <c r="D98" s="17" t="s">
        <v>174</v>
      </c>
      <c r="E98" s="17" t="s">
        <v>130</v>
      </c>
      <c r="F98" s="16" t="n">
        <v>47118</v>
      </c>
      <c r="G98" s="17" t="s">
        <v>403</v>
      </c>
      <c r="H98" s="20" t="s">
        <v>123</v>
      </c>
      <c r="I98" s="17" t="s">
        <v>253</v>
      </c>
      <c r="J98" s="18" t="s">
        <v>404</v>
      </c>
    </row>
    <row r="99" customFormat="false" ht="31.5" hidden="false" customHeight="true" outlineLevel="0" collapsed="false">
      <c r="A99" s="17" t="s">
        <v>402</v>
      </c>
      <c r="B99" s="17" t="s">
        <v>250</v>
      </c>
      <c r="C99" s="17" t="s">
        <v>254</v>
      </c>
      <c r="D99" s="17" t="s">
        <v>203</v>
      </c>
      <c r="E99" s="17" t="s">
        <v>130</v>
      </c>
      <c r="F99" s="16" t="n">
        <v>47299</v>
      </c>
      <c r="G99" s="17" t="s">
        <v>405</v>
      </c>
      <c r="H99" s="20" t="s">
        <v>123</v>
      </c>
      <c r="I99" s="17" t="s">
        <v>253</v>
      </c>
      <c r="J99" s="18" t="s">
        <v>406</v>
      </c>
    </row>
    <row r="100" customFormat="false" ht="21" hidden="false" customHeight="true" outlineLevel="0" collapsed="false">
      <c r="A100" s="17" t="s">
        <v>402</v>
      </c>
      <c r="B100" s="17" t="s">
        <v>250</v>
      </c>
      <c r="C100" s="17" t="s">
        <v>26</v>
      </c>
      <c r="D100" s="17" t="s">
        <v>203</v>
      </c>
      <c r="E100" s="17" t="s">
        <v>104</v>
      </c>
      <c r="F100" s="16" t="n">
        <v>47434</v>
      </c>
      <c r="G100" s="17" t="s">
        <v>27</v>
      </c>
      <c r="H100" s="20" t="s">
        <v>123</v>
      </c>
      <c r="I100" s="17" t="s">
        <v>56</v>
      </c>
      <c r="J100" s="18" t="s">
        <v>407</v>
      </c>
    </row>
    <row r="101" customFormat="false" ht="21" hidden="false" customHeight="true" outlineLevel="0" collapsed="false">
      <c r="A101" s="17" t="s">
        <v>402</v>
      </c>
      <c r="B101" s="17" t="s">
        <v>250</v>
      </c>
      <c r="C101" s="17" t="s">
        <v>107</v>
      </c>
      <c r="D101" s="17" t="s">
        <v>257</v>
      </c>
      <c r="E101" s="17" t="s">
        <v>104</v>
      </c>
      <c r="F101" s="16" t="n">
        <v>47434</v>
      </c>
      <c r="G101" s="17" t="s">
        <v>27</v>
      </c>
      <c r="H101" s="20" t="s">
        <v>123</v>
      </c>
      <c r="I101" s="17" t="s">
        <v>408</v>
      </c>
      <c r="J101" s="18" t="s">
        <v>409</v>
      </c>
    </row>
    <row r="102" customFormat="false" ht="31.5" hidden="false" customHeight="true" outlineLevel="0" collapsed="false">
      <c r="A102" s="17" t="s">
        <v>410</v>
      </c>
      <c r="B102" s="17" t="s">
        <v>207</v>
      </c>
      <c r="C102" s="17" t="s">
        <v>212</v>
      </c>
      <c r="D102" s="17" t="s">
        <v>411</v>
      </c>
      <c r="E102" s="17" t="s">
        <v>113</v>
      </c>
      <c r="F102" s="16"/>
      <c r="G102" s="17" t="s">
        <v>412</v>
      </c>
      <c r="H102" s="20" t="s">
        <v>105</v>
      </c>
      <c r="I102" s="17" t="s">
        <v>215</v>
      </c>
      <c r="J102" s="18" t="s">
        <v>98</v>
      </c>
    </row>
    <row r="103" customFormat="false" ht="31.5" hidden="false" customHeight="true" outlineLevel="0" collapsed="false">
      <c r="A103" s="17" t="s">
        <v>410</v>
      </c>
      <c r="B103" s="17" t="s">
        <v>207</v>
      </c>
      <c r="C103" s="17" t="s">
        <v>216</v>
      </c>
      <c r="D103" s="17" t="s">
        <v>413</v>
      </c>
      <c r="E103" s="17" t="s">
        <v>118</v>
      </c>
      <c r="F103" s="16"/>
      <c r="G103" s="17" t="s">
        <v>218</v>
      </c>
      <c r="H103" s="20" t="s">
        <v>123</v>
      </c>
      <c r="I103" s="17" t="s">
        <v>414</v>
      </c>
      <c r="J103" s="18" t="s">
        <v>415</v>
      </c>
    </row>
    <row r="104" customFormat="false" ht="21" hidden="false" customHeight="true" outlineLevel="0" collapsed="false">
      <c r="A104" s="17" t="s">
        <v>410</v>
      </c>
      <c r="B104" s="17" t="s">
        <v>207</v>
      </c>
      <c r="C104" s="17" t="s">
        <v>220</v>
      </c>
      <c r="D104" s="17" t="s">
        <v>416</v>
      </c>
      <c r="E104" s="17" t="s">
        <v>113</v>
      </c>
      <c r="F104" s="16"/>
      <c r="G104" s="17" t="s">
        <v>222</v>
      </c>
      <c r="H104" s="20" t="s">
        <v>105</v>
      </c>
      <c r="I104" s="17" t="s">
        <v>223</v>
      </c>
      <c r="J104" s="18" t="s">
        <v>99</v>
      </c>
    </row>
    <row r="105" customFormat="false" ht="21" hidden="false" customHeight="true" outlineLevel="0" collapsed="false">
      <c r="A105" s="17" t="s">
        <v>410</v>
      </c>
      <c r="B105" s="17" t="s">
        <v>207</v>
      </c>
      <c r="C105" s="17" t="s">
        <v>26</v>
      </c>
      <c r="D105" s="17" t="s">
        <v>178</v>
      </c>
      <c r="E105" s="17" t="s">
        <v>104</v>
      </c>
      <c r="F105" s="16" t="n">
        <v>47269</v>
      </c>
      <c r="G105" s="17" t="s">
        <v>27</v>
      </c>
      <c r="H105" s="20" t="s">
        <v>123</v>
      </c>
      <c r="I105" s="17" t="s">
        <v>227</v>
      </c>
      <c r="J105" s="18" t="s">
        <v>417</v>
      </c>
    </row>
    <row r="106" customFormat="false" ht="21" hidden="false" customHeight="true" outlineLevel="0" collapsed="false">
      <c r="A106" s="17" t="s">
        <v>410</v>
      </c>
      <c r="B106" s="17" t="s">
        <v>207</v>
      </c>
      <c r="C106" s="17" t="s">
        <v>158</v>
      </c>
      <c r="D106" s="17" t="s">
        <v>418</v>
      </c>
      <c r="E106" s="17" t="s">
        <v>104</v>
      </c>
      <c r="F106" s="16" t="n">
        <v>47269</v>
      </c>
      <c r="G106" s="17" t="s">
        <v>27</v>
      </c>
      <c r="H106" s="20" t="s">
        <v>123</v>
      </c>
      <c r="I106" s="17" t="s">
        <v>227</v>
      </c>
      <c r="J106" s="18" t="s">
        <v>419</v>
      </c>
    </row>
    <row r="107" customFormat="false" ht="21" hidden="false" customHeight="true" outlineLevel="0" collapsed="false">
      <c r="A107" s="17" t="s">
        <v>410</v>
      </c>
      <c r="B107" s="17" t="s">
        <v>207</v>
      </c>
      <c r="C107" s="17" t="s">
        <v>107</v>
      </c>
      <c r="D107" s="17" t="s">
        <v>420</v>
      </c>
      <c r="E107" s="17" t="s">
        <v>104</v>
      </c>
      <c r="F107" s="16" t="n">
        <v>47269</v>
      </c>
      <c r="G107" s="17" t="s">
        <v>27</v>
      </c>
      <c r="H107" s="20" t="s">
        <v>123</v>
      </c>
      <c r="I107" s="17" t="s">
        <v>227</v>
      </c>
      <c r="J107" s="18" t="s">
        <v>421</v>
      </c>
    </row>
  </sheetData>
  <autoFilter ref="A1:J107"/>
  <conditionalFormatting sqref="H2:H107">
    <cfRule type="expression" priority="2" aboveAverage="0" equalAverage="0" bottom="0" percent="0" rank="0" text="" dxfId="9">
      <formula>$H2="Yes"</formula>
    </cfRule>
    <cfRule type="expression" priority="3" aboveAverage="0" equalAverage="0" bottom="0" percent="0" rank="0" text="" dxfId="10">
      <formula>$H2="Check"</formula>
    </cfRule>
  </conditionalFormatting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&amp;LCovenant Tests&amp;CPage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0.7"/>
    <col collapsed="false" customWidth="true" hidden="true" outlineLevel="1" max="2" min="2" style="0" width="18.7"/>
    <col collapsed="false" customWidth="true" hidden="false" outlineLevel="0" max="3" min="3" style="0" width="21.7"/>
    <col collapsed="false" customWidth="true" hidden="false" outlineLevel="0" max="4" min="4" style="0" width="44.7"/>
    <col collapsed="false" customWidth="true" hidden="false" outlineLevel="0" max="5" min="5" style="0" width="28.7"/>
    <col collapsed="false" customWidth="true" hidden="false" outlineLevel="0" max="6" min="6" style="0" width="13.7"/>
    <col collapsed="false" customWidth="true" hidden="false" outlineLevel="0" max="7" min="7" style="0" width="20.7"/>
    <col collapsed="false" customWidth="true" hidden="false" outlineLevel="0" max="8" min="8" style="0" width="9.7"/>
    <col collapsed="false" customWidth="true" hidden="false" outlineLevel="0" max="9" min="9" style="0" width="20.7"/>
    <col collapsed="false" customWidth="true" hidden="false" outlineLevel="0" max="10" min="10" style="0" width="11.7"/>
    <col collapsed="false" customWidth="true" hidden="false" outlineLevel="0" max="11" min="11" style="0" width="10.71"/>
    <col collapsed="false" customWidth="true" hidden="false" outlineLevel="0" max="12" min="12" style="0" width="11.7"/>
    <col collapsed="false" customWidth="true" hidden="false" outlineLevel="0" max="13" min="13" style="0" width="30.7"/>
    <col collapsed="false" customWidth="true" hidden="false" outlineLevel="0" max="14" min="14" style="0" width="34.71"/>
    <col collapsed="false" customWidth="true" hidden="false" outlineLevel="0" max="15" min="15" style="0" width="40.7"/>
    <col collapsed="false" customWidth="true" hidden="false" outlineLevel="0" max="16" min="16" style="0" width="44.7"/>
    <col collapsed="false" customWidth="true" hidden="false" outlineLevel="0" max="17" min="17" style="0" width="34.71"/>
    <col collapsed="false" customWidth="true" hidden="true" outlineLevel="1" max="18" min="18" style="0" width="40.7"/>
  </cols>
  <sheetData>
    <row r="1" customFormat="false" ht="43.5" hidden="false" customHeight="true" outlineLevel="0" collapsed="false">
      <c r="A1" s="15" t="s">
        <v>8</v>
      </c>
      <c r="B1" s="15" t="s">
        <v>9</v>
      </c>
      <c r="C1" s="15" t="s">
        <v>422</v>
      </c>
      <c r="D1" s="15" t="s">
        <v>423</v>
      </c>
      <c r="E1" s="15" t="s">
        <v>424</v>
      </c>
      <c r="F1" s="15" t="s">
        <v>425</v>
      </c>
      <c r="G1" s="15" t="s">
        <v>426</v>
      </c>
      <c r="H1" s="15" t="s">
        <v>427</v>
      </c>
      <c r="I1" s="15" t="s">
        <v>428</v>
      </c>
      <c r="J1" s="15" t="s">
        <v>429</v>
      </c>
      <c r="K1" s="15" t="s">
        <v>430</v>
      </c>
      <c r="L1" s="15" t="s">
        <v>431</v>
      </c>
      <c r="M1" s="15" t="s">
        <v>432</v>
      </c>
      <c r="N1" s="15" t="s">
        <v>433</v>
      </c>
      <c r="O1" s="15" t="s">
        <v>434</v>
      </c>
      <c r="P1" s="15" t="s">
        <v>435</v>
      </c>
      <c r="Q1" s="15" t="s">
        <v>436</v>
      </c>
      <c r="R1" s="15" t="s">
        <v>20</v>
      </c>
    </row>
    <row r="2" customFormat="false" ht="45.75" hidden="false" customHeight="true" outlineLevel="0" collapsed="false">
      <c r="A2" s="17" t="s">
        <v>49</v>
      </c>
      <c r="B2" s="17" t="s">
        <v>102</v>
      </c>
      <c r="C2" s="17" t="s">
        <v>437</v>
      </c>
      <c r="D2" s="17" t="s">
        <v>438</v>
      </c>
      <c r="E2" s="17" t="s">
        <v>439</v>
      </c>
      <c r="F2" s="21"/>
      <c r="G2" s="17" t="s">
        <v>440</v>
      </c>
      <c r="H2" s="22"/>
      <c r="I2" s="17"/>
      <c r="J2" s="22"/>
      <c r="K2" s="22"/>
      <c r="L2" s="22"/>
      <c r="M2" s="17"/>
      <c r="N2" s="17" t="s">
        <v>441</v>
      </c>
      <c r="O2" s="17" t="s">
        <v>442</v>
      </c>
      <c r="P2" s="17" t="s">
        <v>443</v>
      </c>
      <c r="Q2" s="17" t="s">
        <v>444</v>
      </c>
      <c r="R2" s="17" t="s">
        <v>445</v>
      </c>
    </row>
    <row r="3" customFormat="false" ht="45.75" hidden="false" customHeight="true" outlineLevel="0" collapsed="false">
      <c r="A3" s="17" t="s">
        <v>121</v>
      </c>
      <c r="B3" s="17" t="s">
        <v>102</v>
      </c>
      <c r="C3" s="17" t="s">
        <v>437</v>
      </c>
      <c r="D3" s="17" t="s">
        <v>446</v>
      </c>
      <c r="E3" s="17" t="s">
        <v>439</v>
      </c>
      <c r="F3" s="21"/>
      <c r="G3" s="17" t="s">
        <v>447</v>
      </c>
      <c r="H3" s="22"/>
      <c r="I3" s="17"/>
      <c r="J3" s="22"/>
      <c r="K3" s="22"/>
      <c r="L3" s="22"/>
      <c r="M3" s="17"/>
      <c r="N3" s="17" t="s">
        <v>441</v>
      </c>
      <c r="O3" s="17" t="s">
        <v>442</v>
      </c>
      <c r="P3" s="17" t="s">
        <v>443</v>
      </c>
      <c r="Q3" s="17" t="s">
        <v>448</v>
      </c>
      <c r="R3" s="17" t="s">
        <v>445</v>
      </c>
    </row>
    <row r="4" customFormat="false" ht="45.75" hidden="false" customHeight="true" outlineLevel="0" collapsed="false">
      <c r="A4" s="17" t="s">
        <v>127</v>
      </c>
      <c r="B4" s="17" t="s">
        <v>128</v>
      </c>
      <c r="C4" s="17" t="s">
        <v>449</v>
      </c>
      <c r="D4" s="17" t="s">
        <v>450</v>
      </c>
      <c r="E4" s="17"/>
      <c r="F4" s="21"/>
      <c r="G4" s="17" t="s">
        <v>451</v>
      </c>
      <c r="H4" s="22" t="n">
        <v>0.023</v>
      </c>
      <c r="I4" s="17"/>
      <c r="J4" s="22"/>
      <c r="K4" s="22"/>
      <c r="L4" s="22"/>
      <c r="M4" s="17"/>
      <c r="N4" s="17" t="s">
        <v>452</v>
      </c>
      <c r="O4" s="17" t="s">
        <v>453</v>
      </c>
      <c r="P4" s="17" t="s">
        <v>454</v>
      </c>
      <c r="Q4" s="17" t="s">
        <v>455</v>
      </c>
      <c r="R4" s="17" t="s">
        <v>456</v>
      </c>
    </row>
    <row r="5" customFormat="false" ht="45.75" hidden="false" customHeight="true" outlineLevel="0" collapsed="false">
      <c r="A5" s="17" t="s">
        <v>141</v>
      </c>
      <c r="B5" s="17" t="s">
        <v>142</v>
      </c>
      <c r="C5" s="17" t="s">
        <v>449</v>
      </c>
      <c r="D5" s="17" t="s">
        <v>457</v>
      </c>
      <c r="E5" s="17"/>
      <c r="F5" s="21"/>
      <c r="G5" s="17" t="s">
        <v>458</v>
      </c>
      <c r="H5" s="22" t="n">
        <v>0.035</v>
      </c>
      <c r="I5" s="17" t="s">
        <v>459</v>
      </c>
      <c r="J5" s="22"/>
      <c r="K5" s="22"/>
      <c r="L5" s="22"/>
      <c r="M5" s="17"/>
      <c r="N5" s="17" t="s">
        <v>460</v>
      </c>
      <c r="O5" s="17" t="s">
        <v>461</v>
      </c>
      <c r="P5" s="17" t="s">
        <v>462</v>
      </c>
      <c r="Q5" s="17" t="s">
        <v>463</v>
      </c>
      <c r="R5" s="17" t="s">
        <v>464</v>
      </c>
    </row>
    <row r="6" customFormat="false" ht="60" hidden="false" customHeight="true" outlineLevel="0" collapsed="false">
      <c r="A6" s="17" t="s">
        <v>151</v>
      </c>
      <c r="B6" s="17" t="s">
        <v>152</v>
      </c>
      <c r="C6" s="17" t="s">
        <v>465</v>
      </c>
      <c r="D6" s="17" t="s">
        <v>466</v>
      </c>
      <c r="E6" s="17" t="s">
        <v>467</v>
      </c>
      <c r="F6" s="21"/>
      <c r="G6" s="17" t="s">
        <v>451</v>
      </c>
      <c r="H6" s="22" t="n">
        <v>0.026</v>
      </c>
      <c r="I6" s="17" t="s">
        <v>468</v>
      </c>
      <c r="J6" s="22"/>
      <c r="K6" s="22"/>
      <c r="L6" s="22"/>
      <c r="M6" s="17"/>
      <c r="N6" s="17" t="s">
        <v>469</v>
      </c>
      <c r="O6" s="17" t="s">
        <v>470</v>
      </c>
      <c r="P6" s="17" t="s">
        <v>471</v>
      </c>
      <c r="Q6" s="17" t="s">
        <v>472</v>
      </c>
      <c r="R6" s="17" t="s">
        <v>473</v>
      </c>
    </row>
    <row r="7" customFormat="false" ht="74.25" hidden="false" customHeight="true" outlineLevel="0" collapsed="false">
      <c r="A7" s="17" t="s">
        <v>166</v>
      </c>
      <c r="B7" s="17" t="s">
        <v>167</v>
      </c>
      <c r="C7" s="17" t="s">
        <v>474</v>
      </c>
      <c r="D7" s="17" t="s">
        <v>475</v>
      </c>
      <c r="E7" s="17" t="s">
        <v>467</v>
      </c>
      <c r="F7" s="21" t="n">
        <v>30</v>
      </c>
      <c r="G7" s="17" t="s">
        <v>458</v>
      </c>
      <c r="H7" s="22" t="n">
        <v>0.0275</v>
      </c>
      <c r="I7" s="17" t="s">
        <v>476</v>
      </c>
      <c r="J7" s="22"/>
      <c r="K7" s="22"/>
      <c r="L7" s="22"/>
      <c r="M7" s="17"/>
      <c r="N7" s="17" t="s">
        <v>477</v>
      </c>
      <c r="O7" s="17" t="s">
        <v>478</v>
      </c>
      <c r="P7" s="17" t="s">
        <v>479</v>
      </c>
      <c r="Q7" s="17"/>
      <c r="R7" s="17" t="s">
        <v>480</v>
      </c>
    </row>
    <row r="8" customFormat="false" ht="45.75" hidden="false" customHeight="true" outlineLevel="0" collapsed="false">
      <c r="A8" s="17" t="s">
        <v>172</v>
      </c>
      <c r="B8" s="17" t="s">
        <v>173</v>
      </c>
      <c r="C8" s="17" t="s">
        <v>481</v>
      </c>
      <c r="D8" s="17" t="s">
        <v>482</v>
      </c>
      <c r="E8" s="17" t="s">
        <v>483</v>
      </c>
      <c r="F8" s="21" t="n">
        <v>30</v>
      </c>
      <c r="G8" s="17" t="s">
        <v>458</v>
      </c>
      <c r="H8" s="22" t="n">
        <v>0.0275</v>
      </c>
      <c r="I8" s="17" t="s">
        <v>484</v>
      </c>
      <c r="J8" s="22" t="n">
        <v>0.025</v>
      </c>
      <c r="K8" s="22" t="n">
        <v>0.07</v>
      </c>
      <c r="L8" s="22"/>
      <c r="M8" s="17" t="s">
        <v>485</v>
      </c>
      <c r="N8" s="17" t="s">
        <v>469</v>
      </c>
      <c r="O8" s="17" t="s">
        <v>486</v>
      </c>
      <c r="P8" s="17" t="s">
        <v>487</v>
      </c>
      <c r="Q8" s="17" t="s">
        <v>488</v>
      </c>
      <c r="R8" s="17" t="s">
        <v>489</v>
      </c>
    </row>
    <row r="9" customFormat="false" ht="45.75" hidden="false" customHeight="true" outlineLevel="0" collapsed="false">
      <c r="A9" s="17" t="s">
        <v>184</v>
      </c>
      <c r="B9" s="17" t="s">
        <v>185</v>
      </c>
      <c r="C9" s="17" t="s">
        <v>465</v>
      </c>
      <c r="D9" s="17" t="s">
        <v>490</v>
      </c>
      <c r="E9" s="17" t="s">
        <v>491</v>
      </c>
      <c r="F9" s="21"/>
      <c r="G9" s="17" t="s">
        <v>458</v>
      </c>
      <c r="H9" s="22" t="n">
        <v>0.0235</v>
      </c>
      <c r="I9" s="17" t="s">
        <v>492</v>
      </c>
      <c r="J9" s="22"/>
      <c r="K9" s="22"/>
      <c r="L9" s="22"/>
      <c r="M9" s="17"/>
      <c r="N9" s="17" t="s">
        <v>493</v>
      </c>
      <c r="O9" s="17" t="s">
        <v>494</v>
      </c>
      <c r="P9" s="17" t="s">
        <v>495</v>
      </c>
      <c r="Q9" s="17" t="s">
        <v>496</v>
      </c>
      <c r="R9" s="17" t="s">
        <v>497</v>
      </c>
    </row>
    <row r="10" customFormat="false" ht="45.75" hidden="false" customHeight="true" outlineLevel="0" collapsed="false">
      <c r="A10" s="17" t="s">
        <v>201</v>
      </c>
      <c r="B10" s="17" t="s">
        <v>202</v>
      </c>
      <c r="C10" s="17" t="s">
        <v>481</v>
      </c>
      <c r="D10" s="17" t="s">
        <v>498</v>
      </c>
      <c r="E10" s="17" t="s">
        <v>499</v>
      </c>
      <c r="F10" s="21" t="n">
        <v>30</v>
      </c>
      <c r="G10" s="17" t="s">
        <v>500</v>
      </c>
      <c r="H10" s="22" t="n">
        <v>0.03</v>
      </c>
      <c r="I10" s="17" t="s">
        <v>501</v>
      </c>
      <c r="J10" s="22" t="n">
        <v>0.0225</v>
      </c>
      <c r="K10" s="22" t="n">
        <v>0.065</v>
      </c>
      <c r="L10" s="22"/>
      <c r="M10" s="17" t="s">
        <v>502</v>
      </c>
      <c r="N10" s="17" t="s">
        <v>503</v>
      </c>
      <c r="O10" s="17" t="s">
        <v>504</v>
      </c>
      <c r="P10" s="17" t="s">
        <v>505</v>
      </c>
      <c r="Q10" s="17"/>
      <c r="R10" s="17" t="s">
        <v>506</v>
      </c>
    </row>
    <row r="11" customFormat="false" ht="45.75" hidden="false" customHeight="true" outlineLevel="0" collapsed="false">
      <c r="A11" s="17" t="s">
        <v>59</v>
      </c>
      <c r="B11" s="17" t="s">
        <v>207</v>
      </c>
      <c r="C11" s="17" t="s">
        <v>465</v>
      </c>
      <c r="D11" s="17" t="s">
        <v>507</v>
      </c>
      <c r="E11" s="17" t="s">
        <v>491</v>
      </c>
      <c r="F11" s="21"/>
      <c r="G11" s="17" t="s">
        <v>500</v>
      </c>
      <c r="H11" s="22" t="n">
        <v>0.0325</v>
      </c>
      <c r="I11" s="17" t="s">
        <v>508</v>
      </c>
      <c r="J11" s="22"/>
      <c r="K11" s="22"/>
      <c r="L11" s="22"/>
      <c r="M11" s="17"/>
      <c r="N11" s="17" t="s">
        <v>509</v>
      </c>
      <c r="O11" s="17" t="s">
        <v>510</v>
      </c>
      <c r="P11" s="17" t="s">
        <v>511</v>
      </c>
      <c r="Q11" s="17" t="s">
        <v>512</v>
      </c>
      <c r="R11" s="17" t="s">
        <v>513</v>
      </c>
    </row>
    <row r="12" customFormat="false" ht="60" hidden="false" customHeight="true" outlineLevel="0" collapsed="false">
      <c r="A12" s="17" t="s">
        <v>31</v>
      </c>
      <c r="B12" s="17" t="s">
        <v>230</v>
      </c>
      <c r="C12" s="17" t="s">
        <v>481</v>
      </c>
      <c r="D12" s="17" t="s">
        <v>514</v>
      </c>
      <c r="E12" s="17" t="s">
        <v>515</v>
      </c>
      <c r="F12" s="21" t="n">
        <v>30</v>
      </c>
      <c r="G12" s="17" t="s">
        <v>451</v>
      </c>
      <c r="H12" s="22" t="n">
        <v>0.025</v>
      </c>
      <c r="I12" s="17" t="s">
        <v>516</v>
      </c>
      <c r="J12" s="22" t="n">
        <v>0.02</v>
      </c>
      <c r="K12" s="22" t="n">
        <v>0.0675</v>
      </c>
      <c r="L12" s="22"/>
      <c r="M12" s="17" t="s">
        <v>517</v>
      </c>
      <c r="N12" s="17" t="s">
        <v>518</v>
      </c>
      <c r="O12" s="17" t="s">
        <v>519</v>
      </c>
      <c r="P12" s="17" t="s">
        <v>520</v>
      </c>
      <c r="Q12" s="17" t="s">
        <v>521</v>
      </c>
      <c r="R12" s="17" t="s">
        <v>522</v>
      </c>
    </row>
    <row r="13" customFormat="false" ht="74.25" hidden="false" customHeight="true" outlineLevel="0" collapsed="false">
      <c r="A13" s="17" t="s">
        <v>55</v>
      </c>
      <c r="B13" s="17" t="s">
        <v>250</v>
      </c>
      <c r="C13" s="17" t="s">
        <v>523</v>
      </c>
      <c r="D13" s="17" t="s">
        <v>524</v>
      </c>
      <c r="E13" s="17" t="s">
        <v>525</v>
      </c>
      <c r="F13" s="21" t="n">
        <v>30</v>
      </c>
      <c r="G13" s="17" t="s">
        <v>451</v>
      </c>
      <c r="H13" s="22" t="n">
        <v>0.0285</v>
      </c>
      <c r="I13" s="17" t="s">
        <v>516</v>
      </c>
      <c r="J13" s="22" t="n">
        <v>0.025</v>
      </c>
      <c r="K13" s="22" t="n">
        <v>0.07</v>
      </c>
      <c r="L13" s="22"/>
      <c r="M13" s="17" t="s">
        <v>526</v>
      </c>
      <c r="N13" s="17" t="s">
        <v>527</v>
      </c>
      <c r="O13" s="17" t="s">
        <v>528</v>
      </c>
      <c r="P13" s="17" t="s">
        <v>529</v>
      </c>
      <c r="Q13" s="17" t="s">
        <v>530</v>
      </c>
      <c r="R13" s="17" t="s">
        <v>531</v>
      </c>
    </row>
    <row r="14" customFormat="false" ht="60" hidden="false" customHeight="true" outlineLevel="0" collapsed="false">
      <c r="A14" s="17" t="s">
        <v>67</v>
      </c>
      <c r="B14" s="17" t="s">
        <v>230</v>
      </c>
      <c r="C14" s="17" t="s">
        <v>481</v>
      </c>
      <c r="D14" s="17" t="s">
        <v>532</v>
      </c>
      <c r="E14" s="17" t="s">
        <v>533</v>
      </c>
      <c r="F14" s="21" t="n">
        <v>30</v>
      </c>
      <c r="G14" s="17" t="s">
        <v>500</v>
      </c>
      <c r="H14" s="22" t="n">
        <v>0.0275</v>
      </c>
      <c r="I14" s="17" t="s">
        <v>534</v>
      </c>
      <c r="J14" s="22" t="n">
        <v>0.02</v>
      </c>
      <c r="K14" s="22" t="n">
        <v>0.075</v>
      </c>
      <c r="L14" s="22"/>
      <c r="M14" s="17" t="s">
        <v>517</v>
      </c>
      <c r="N14" s="17" t="s">
        <v>535</v>
      </c>
      <c r="O14" s="17" t="s">
        <v>536</v>
      </c>
      <c r="P14" s="17" t="s">
        <v>537</v>
      </c>
      <c r="Q14" s="17" t="s">
        <v>538</v>
      </c>
      <c r="R14" s="17" t="s">
        <v>539</v>
      </c>
    </row>
    <row r="15" customFormat="false" ht="60" hidden="false" customHeight="true" outlineLevel="0" collapsed="false">
      <c r="A15" s="17" t="s">
        <v>271</v>
      </c>
      <c r="B15" s="17" t="s">
        <v>272</v>
      </c>
      <c r="C15" s="17" t="s">
        <v>540</v>
      </c>
      <c r="D15" s="17" t="s">
        <v>541</v>
      </c>
      <c r="E15" s="17" t="s">
        <v>542</v>
      </c>
      <c r="F15" s="21" t="n">
        <v>30</v>
      </c>
      <c r="G15" s="17" t="s">
        <v>500</v>
      </c>
      <c r="H15" s="22" t="n">
        <v>0.03</v>
      </c>
      <c r="I15" s="17" t="s">
        <v>516</v>
      </c>
      <c r="J15" s="22"/>
      <c r="K15" s="22"/>
      <c r="L15" s="22"/>
      <c r="M15" s="17"/>
      <c r="N15" s="17" t="s">
        <v>543</v>
      </c>
      <c r="O15" s="17" t="s">
        <v>544</v>
      </c>
      <c r="P15" s="17" t="s">
        <v>545</v>
      </c>
      <c r="Q15" s="17" t="s">
        <v>546</v>
      </c>
      <c r="R15" s="17" t="s">
        <v>547</v>
      </c>
    </row>
    <row r="16" customFormat="false" ht="60" hidden="false" customHeight="true" outlineLevel="0" collapsed="false">
      <c r="A16" s="17" t="s">
        <v>286</v>
      </c>
      <c r="B16" s="17" t="s">
        <v>287</v>
      </c>
      <c r="C16" s="17" t="s">
        <v>465</v>
      </c>
      <c r="D16" s="17" t="s">
        <v>548</v>
      </c>
      <c r="E16" s="17" t="s">
        <v>549</v>
      </c>
      <c r="F16" s="21"/>
      <c r="G16" s="17" t="s">
        <v>550</v>
      </c>
      <c r="H16" s="22" t="n">
        <v>0.0225</v>
      </c>
      <c r="I16" s="17" t="s">
        <v>551</v>
      </c>
      <c r="J16" s="22"/>
      <c r="K16" s="22"/>
      <c r="L16" s="22"/>
      <c r="M16" s="17"/>
      <c r="N16" s="17" t="s">
        <v>552</v>
      </c>
      <c r="O16" s="17" t="s">
        <v>553</v>
      </c>
      <c r="P16" s="17" t="s">
        <v>554</v>
      </c>
      <c r="Q16" s="17" t="s">
        <v>555</v>
      </c>
      <c r="R16" s="17" t="s">
        <v>556</v>
      </c>
    </row>
    <row r="17" customFormat="false" ht="60" hidden="false" customHeight="true" outlineLevel="0" collapsed="false">
      <c r="A17" s="17" t="s">
        <v>311</v>
      </c>
      <c r="B17" s="17" t="s">
        <v>312</v>
      </c>
      <c r="C17" s="17" t="s">
        <v>465</v>
      </c>
      <c r="D17" s="17" t="s">
        <v>557</v>
      </c>
      <c r="E17" s="17" t="s">
        <v>558</v>
      </c>
      <c r="F17" s="21"/>
      <c r="G17" s="17" t="s">
        <v>550</v>
      </c>
      <c r="H17" s="22" t="n">
        <v>0.0225</v>
      </c>
      <c r="I17" s="17" t="s">
        <v>559</v>
      </c>
      <c r="J17" s="22"/>
      <c r="K17" s="22"/>
      <c r="L17" s="22"/>
      <c r="M17" s="17"/>
      <c r="N17" s="17" t="s">
        <v>560</v>
      </c>
      <c r="O17" s="17" t="s">
        <v>553</v>
      </c>
      <c r="P17" s="17" t="s">
        <v>554</v>
      </c>
      <c r="Q17" s="17" t="s">
        <v>561</v>
      </c>
      <c r="R17" s="17" t="s">
        <v>562</v>
      </c>
    </row>
    <row r="18" customFormat="false" ht="60" hidden="false" customHeight="true" outlineLevel="0" collapsed="false">
      <c r="A18" s="17" t="s">
        <v>322</v>
      </c>
      <c r="B18" s="17" t="s">
        <v>323</v>
      </c>
      <c r="C18" s="17" t="s">
        <v>481</v>
      </c>
      <c r="D18" s="17" t="s">
        <v>563</v>
      </c>
      <c r="E18" s="17" t="s">
        <v>564</v>
      </c>
      <c r="F18" s="21" t="n">
        <v>30</v>
      </c>
      <c r="G18" s="17" t="s">
        <v>500</v>
      </c>
      <c r="H18" s="22" t="n">
        <v>0.0235</v>
      </c>
      <c r="I18" s="17" t="s">
        <v>516</v>
      </c>
      <c r="J18" s="22" t="n">
        <v>0.025</v>
      </c>
      <c r="K18" s="22" t="n">
        <v>0.0675</v>
      </c>
      <c r="L18" s="22"/>
      <c r="M18" s="17" t="s">
        <v>526</v>
      </c>
      <c r="N18" s="17" t="s">
        <v>565</v>
      </c>
      <c r="O18" s="17" t="s">
        <v>566</v>
      </c>
      <c r="P18" s="17" t="s">
        <v>567</v>
      </c>
      <c r="Q18" s="17" t="s">
        <v>568</v>
      </c>
      <c r="R18" s="17" t="s">
        <v>569</v>
      </c>
    </row>
    <row r="19" customFormat="false" ht="45.75" hidden="false" customHeight="true" outlineLevel="0" collapsed="false">
      <c r="A19" s="17" t="s">
        <v>332</v>
      </c>
      <c r="B19" s="17" t="s">
        <v>102</v>
      </c>
      <c r="C19" s="17" t="s">
        <v>437</v>
      </c>
      <c r="D19" s="17" t="s">
        <v>570</v>
      </c>
      <c r="E19" s="17" t="s">
        <v>439</v>
      </c>
      <c r="F19" s="21"/>
      <c r="G19" s="17" t="s">
        <v>571</v>
      </c>
      <c r="H19" s="22"/>
      <c r="I19" s="17"/>
      <c r="J19" s="22"/>
      <c r="K19" s="22"/>
      <c r="L19" s="22"/>
      <c r="M19" s="17"/>
      <c r="N19" s="17" t="s">
        <v>441</v>
      </c>
      <c r="O19" s="17" t="s">
        <v>442</v>
      </c>
      <c r="P19" s="17" t="s">
        <v>443</v>
      </c>
      <c r="Q19" s="17" t="s">
        <v>444</v>
      </c>
      <c r="R19" s="17" t="s">
        <v>445</v>
      </c>
    </row>
    <row r="20" customFormat="false" ht="60" hidden="false" customHeight="true" outlineLevel="0" collapsed="false">
      <c r="A20" s="17" t="s">
        <v>336</v>
      </c>
      <c r="B20" s="17" t="s">
        <v>337</v>
      </c>
      <c r="C20" s="17" t="s">
        <v>572</v>
      </c>
      <c r="D20" s="17" t="s">
        <v>573</v>
      </c>
      <c r="E20" s="17" t="s">
        <v>574</v>
      </c>
      <c r="F20" s="21" t="n">
        <v>30</v>
      </c>
      <c r="G20" s="17" t="s">
        <v>575</v>
      </c>
      <c r="H20" s="22" t="n">
        <v>0.0225</v>
      </c>
      <c r="I20" s="17" t="s">
        <v>576</v>
      </c>
      <c r="J20" s="22" t="n">
        <v>0.02</v>
      </c>
      <c r="K20" s="22"/>
      <c r="L20" s="22" t="n">
        <v>0.0819</v>
      </c>
      <c r="M20" s="17" t="s">
        <v>577</v>
      </c>
      <c r="N20" s="17" t="s">
        <v>578</v>
      </c>
      <c r="O20" s="17" t="s">
        <v>579</v>
      </c>
      <c r="P20" s="17" t="s">
        <v>580</v>
      </c>
      <c r="Q20" s="17" t="s">
        <v>581</v>
      </c>
      <c r="R20" s="17" t="s">
        <v>582</v>
      </c>
    </row>
    <row r="21" customFormat="false" ht="45.75" hidden="false" customHeight="true" outlineLevel="0" collapsed="false">
      <c r="A21" s="17" t="s">
        <v>346</v>
      </c>
      <c r="B21" s="17" t="s">
        <v>202</v>
      </c>
      <c r="C21" s="17" t="s">
        <v>481</v>
      </c>
      <c r="D21" s="17" t="s">
        <v>583</v>
      </c>
      <c r="E21" s="17" t="s">
        <v>584</v>
      </c>
      <c r="F21" s="21" t="n">
        <v>30</v>
      </c>
      <c r="G21" s="17" t="s">
        <v>500</v>
      </c>
      <c r="H21" s="22" t="n">
        <v>0.03</v>
      </c>
      <c r="I21" s="17" t="s">
        <v>501</v>
      </c>
      <c r="J21" s="22" t="n">
        <v>0.0225</v>
      </c>
      <c r="K21" s="22" t="n">
        <v>0.065</v>
      </c>
      <c r="L21" s="22"/>
      <c r="M21" s="17" t="s">
        <v>502</v>
      </c>
      <c r="N21" s="17" t="s">
        <v>585</v>
      </c>
      <c r="O21" s="17" t="s">
        <v>504</v>
      </c>
      <c r="P21" s="17" t="s">
        <v>586</v>
      </c>
      <c r="Q21" s="17"/>
      <c r="R21" s="17" t="s">
        <v>587</v>
      </c>
    </row>
    <row r="22" customFormat="false" ht="60" hidden="false" customHeight="true" outlineLevel="0" collapsed="false">
      <c r="A22" s="17" t="s">
        <v>350</v>
      </c>
      <c r="B22" s="17" t="s">
        <v>230</v>
      </c>
      <c r="C22" s="17" t="s">
        <v>481</v>
      </c>
      <c r="D22" s="17" t="s">
        <v>588</v>
      </c>
      <c r="E22" s="17" t="s">
        <v>589</v>
      </c>
      <c r="F22" s="21" t="n">
        <v>30</v>
      </c>
      <c r="G22" s="17" t="s">
        <v>500</v>
      </c>
      <c r="H22" s="22" t="n">
        <v>0.025</v>
      </c>
      <c r="I22" s="17" t="s">
        <v>590</v>
      </c>
      <c r="J22" s="22" t="n">
        <v>0.02</v>
      </c>
      <c r="K22" s="22" t="n">
        <v>0.07</v>
      </c>
      <c r="L22" s="22"/>
      <c r="M22" s="17" t="s">
        <v>517</v>
      </c>
      <c r="N22" s="17" t="s">
        <v>591</v>
      </c>
      <c r="O22" s="17" t="s">
        <v>592</v>
      </c>
      <c r="P22" s="17" t="s">
        <v>537</v>
      </c>
      <c r="Q22" s="17" t="s">
        <v>593</v>
      </c>
      <c r="R22" s="17" t="s">
        <v>594</v>
      </c>
    </row>
    <row r="23" customFormat="false" ht="45.75" hidden="false" customHeight="true" outlineLevel="0" collapsed="false">
      <c r="A23" s="17" t="s">
        <v>356</v>
      </c>
      <c r="B23" s="17" t="s">
        <v>357</v>
      </c>
      <c r="C23" s="17" t="s">
        <v>481</v>
      </c>
      <c r="D23" s="17" t="s">
        <v>595</v>
      </c>
      <c r="E23" s="17" t="s">
        <v>467</v>
      </c>
      <c r="F23" s="21" t="n">
        <v>30</v>
      </c>
      <c r="G23" s="17" t="s">
        <v>500</v>
      </c>
      <c r="H23" s="22" t="n">
        <v>0.0325</v>
      </c>
      <c r="I23" s="17" t="s">
        <v>516</v>
      </c>
      <c r="J23" s="22" t="n">
        <v>0.025</v>
      </c>
      <c r="K23" s="22" t="n">
        <v>0.0675</v>
      </c>
      <c r="L23" s="22"/>
      <c r="M23" s="17" t="s">
        <v>596</v>
      </c>
      <c r="N23" s="17" t="s">
        <v>597</v>
      </c>
      <c r="O23" s="17" t="s">
        <v>598</v>
      </c>
      <c r="P23" s="17" t="s">
        <v>599</v>
      </c>
      <c r="Q23" s="17" t="s">
        <v>600</v>
      </c>
      <c r="R23" s="17" t="s">
        <v>601</v>
      </c>
    </row>
    <row r="24" customFormat="false" ht="45.75" hidden="false" customHeight="true" outlineLevel="0" collapsed="false">
      <c r="A24" s="17" t="s">
        <v>367</v>
      </c>
      <c r="B24" s="17" t="s">
        <v>368</v>
      </c>
      <c r="C24" s="17" t="s">
        <v>481</v>
      </c>
      <c r="D24" s="17" t="s">
        <v>595</v>
      </c>
      <c r="E24" s="17" t="s">
        <v>467</v>
      </c>
      <c r="F24" s="21" t="n">
        <v>30</v>
      </c>
      <c r="G24" s="17" t="s">
        <v>500</v>
      </c>
      <c r="H24" s="22" t="n">
        <v>0.025</v>
      </c>
      <c r="I24" s="17" t="s">
        <v>516</v>
      </c>
      <c r="J24" s="22" t="n">
        <v>0.025</v>
      </c>
      <c r="K24" s="22" t="n">
        <v>0.0675</v>
      </c>
      <c r="L24" s="22"/>
      <c r="M24" s="17" t="s">
        <v>596</v>
      </c>
      <c r="N24" s="17" t="s">
        <v>597</v>
      </c>
      <c r="O24" s="17" t="s">
        <v>598</v>
      </c>
      <c r="P24" s="17" t="s">
        <v>599</v>
      </c>
      <c r="Q24" s="17" t="s">
        <v>600</v>
      </c>
      <c r="R24" s="17" t="s">
        <v>601</v>
      </c>
    </row>
    <row r="25" customFormat="false" ht="60" hidden="false" customHeight="true" outlineLevel="0" collapsed="false">
      <c r="A25" s="17" t="s">
        <v>373</v>
      </c>
      <c r="B25" s="17" t="s">
        <v>337</v>
      </c>
      <c r="C25" s="17" t="s">
        <v>572</v>
      </c>
      <c r="D25" s="17" t="s">
        <v>602</v>
      </c>
      <c r="E25" s="17" t="s">
        <v>603</v>
      </c>
      <c r="F25" s="21" t="n">
        <v>30</v>
      </c>
      <c r="G25" s="17" t="s">
        <v>575</v>
      </c>
      <c r="H25" s="22" t="n">
        <v>0.02</v>
      </c>
      <c r="I25" s="17" t="s">
        <v>576</v>
      </c>
      <c r="J25" s="22" t="n">
        <v>0.02</v>
      </c>
      <c r="K25" s="22"/>
      <c r="L25" s="22" t="n">
        <v>0.0778</v>
      </c>
      <c r="M25" s="17" t="s">
        <v>577</v>
      </c>
      <c r="N25" s="17" t="s">
        <v>604</v>
      </c>
      <c r="O25" s="17" t="s">
        <v>579</v>
      </c>
      <c r="P25" s="17" t="s">
        <v>580</v>
      </c>
      <c r="Q25" s="17" t="s">
        <v>581</v>
      </c>
      <c r="R25" s="17" t="s">
        <v>582</v>
      </c>
    </row>
    <row r="26" customFormat="false" ht="88.5" hidden="false" customHeight="true" outlineLevel="0" collapsed="false">
      <c r="A26" s="17" t="s">
        <v>377</v>
      </c>
      <c r="B26" s="17" t="s">
        <v>378</v>
      </c>
      <c r="C26" s="17" t="s">
        <v>465</v>
      </c>
      <c r="D26" s="17" t="s">
        <v>605</v>
      </c>
      <c r="E26" s="17" t="s">
        <v>491</v>
      </c>
      <c r="F26" s="21"/>
      <c r="G26" s="17" t="s">
        <v>500</v>
      </c>
      <c r="H26" s="22" t="n">
        <v>0.025</v>
      </c>
      <c r="I26" s="17" t="s">
        <v>606</v>
      </c>
      <c r="J26" s="22"/>
      <c r="K26" s="22"/>
      <c r="L26" s="22"/>
      <c r="M26" s="17"/>
      <c r="N26" s="17" t="s">
        <v>607</v>
      </c>
      <c r="O26" s="17" t="s">
        <v>608</v>
      </c>
      <c r="P26" s="17" t="s">
        <v>609</v>
      </c>
      <c r="Q26" s="17" t="s">
        <v>610</v>
      </c>
      <c r="R26" s="17" t="s">
        <v>611</v>
      </c>
    </row>
    <row r="27" customFormat="false" ht="45.75" hidden="false" customHeight="true" outlineLevel="0" collapsed="false">
      <c r="A27" s="17" t="s">
        <v>394</v>
      </c>
      <c r="B27" s="17" t="s">
        <v>395</v>
      </c>
      <c r="C27" s="17" t="s">
        <v>465</v>
      </c>
      <c r="D27" s="17" t="s">
        <v>612</v>
      </c>
      <c r="E27" s="17" t="s">
        <v>491</v>
      </c>
      <c r="F27" s="21" t="n">
        <v>30</v>
      </c>
      <c r="G27" s="17" t="s">
        <v>613</v>
      </c>
      <c r="H27" s="22"/>
      <c r="I27" s="17"/>
      <c r="J27" s="22"/>
      <c r="K27" s="22"/>
      <c r="L27" s="22"/>
      <c r="M27" s="17"/>
      <c r="N27" s="17" t="s">
        <v>614</v>
      </c>
      <c r="O27" s="17" t="s">
        <v>615</v>
      </c>
      <c r="P27" s="17" t="s">
        <v>616</v>
      </c>
      <c r="Q27" s="17"/>
      <c r="R27" s="17" t="s">
        <v>617</v>
      </c>
    </row>
    <row r="28" customFormat="false" ht="60" hidden="false" customHeight="true" outlineLevel="0" collapsed="false">
      <c r="A28" s="17" t="s">
        <v>402</v>
      </c>
      <c r="B28" s="17" t="s">
        <v>250</v>
      </c>
      <c r="C28" s="17" t="s">
        <v>523</v>
      </c>
      <c r="D28" s="17" t="s">
        <v>618</v>
      </c>
      <c r="E28" s="17" t="s">
        <v>619</v>
      </c>
      <c r="F28" s="21" t="n">
        <v>30</v>
      </c>
      <c r="G28" s="17" t="s">
        <v>451</v>
      </c>
      <c r="H28" s="22" t="n">
        <v>0.0225</v>
      </c>
      <c r="I28" s="17" t="s">
        <v>516</v>
      </c>
      <c r="J28" s="22" t="n">
        <v>0.025</v>
      </c>
      <c r="K28" s="22" t="n">
        <v>0.065</v>
      </c>
      <c r="L28" s="22"/>
      <c r="M28" s="17" t="s">
        <v>526</v>
      </c>
      <c r="N28" s="17" t="s">
        <v>620</v>
      </c>
      <c r="O28" s="17" t="s">
        <v>621</v>
      </c>
      <c r="P28" s="17" t="s">
        <v>529</v>
      </c>
      <c r="Q28" s="17" t="s">
        <v>581</v>
      </c>
      <c r="R28" s="17" t="s">
        <v>531</v>
      </c>
    </row>
    <row r="29" customFormat="false" ht="45.75" hidden="false" customHeight="true" outlineLevel="0" collapsed="false">
      <c r="A29" s="17" t="s">
        <v>410</v>
      </c>
      <c r="B29" s="17" t="s">
        <v>207</v>
      </c>
      <c r="C29" s="17" t="s">
        <v>465</v>
      </c>
      <c r="D29" s="17" t="s">
        <v>507</v>
      </c>
      <c r="E29" s="17" t="s">
        <v>491</v>
      </c>
      <c r="F29" s="21"/>
      <c r="G29" s="17" t="s">
        <v>500</v>
      </c>
      <c r="H29" s="22" t="n">
        <v>0.0275</v>
      </c>
      <c r="I29" s="17" t="s">
        <v>622</v>
      </c>
      <c r="J29" s="22"/>
      <c r="K29" s="22"/>
      <c r="L29" s="22"/>
      <c r="M29" s="17"/>
      <c r="N29" s="17" t="s">
        <v>591</v>
      </c>
      <c r="O29" s="17" t="s">
        <v>623</v>
      </c>
      <c r="P29" s="17" t="s">
        <v>624</v>
      </c>
      <c r="Q29" s="17" t="s">
        <v>625</v>
      </c>
      <c r="R29" s="17" t="s">
        <v>626</v>
      </c>
    </row>
  </sheetData>
  <autoFilter ref="A1:R29"/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&amp;LTest Calculations&amp;CPage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" activeCellId="0" sqref="B2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20.71"/>
    <col collapsed="false" customWidth="true" hidden="true" outlineLevel="1" max="2" min="2" style="0" width="18.71"/>
    <col collapsed="false" customWidth="true" hidden="false" outlineLevel="0" max="3" min="3" style="0" width="14.71"/>
    <col collapsed="false" customWidth="true" hidden="false" outlineLevel="0" max="5" min="4" style="0" width="11.71"/>
    <col collapsed="false" customWidth="true" hidden="false" outlineLevel="0" max="6" min="6" style="0" width="21.71"/>
    <col collapsed="false" customWidth="true" hidden="false" outlineLevel="0" max="7" min="7" style="0" width="24.71"/>
    <col collapsed="false" customWidth="true" hidden="false" outlineLevel="0" max="8" min="8" style="0" width="28.71"/>
    <col collapsed="false" customWidth="true" hidden="false" outlineLevel="0" max="9" min="9" style="0" width="24.71"/>
  </cols>
  <sheetData>
    <row r="1" customFormat="false" ht="43.5" hidden="false" customHeight="true" outlineLevel="0" collapsed="false">
      <c r="A1" s="15" t="s">
        <v>8</v>
      </c>
      <c r="B1" s="15" t="s">
        <v>9</v>
      </c>
      <c r="C1" s="15" t="s">
        <v>627</v>
      </c>
      <c r="D1" s="15" t="s">
        <v>628</v>
      </c>
      <c r="E1" s="15" t="s">
        <v>629</v>
      </c>
      <c r="F1" s="15" t="s">
        <v>630</v>
      </c>
      <c r="G1" s="15" t="s">
        <v>631</v>
      </c>
      <c r="H1" s="15" t="s">
        <v>632</v>
      </c>
      <c r="I1" s="15" t="s">
        <v>633</v>
      </c>
    </row>
    <row r="2" customFormat="false" ht="31.5" hidden="false" customHeight="true" outlineLevel="0" collapsed="false">
      <c r="A2" s="17" t="s">
        <v>49</v>
      </c>
      <c r="B2" s="17" t="s">
        <v>102</v>
      </c>
      <c r="C2" s="23" t="n">
        <v>54927747</v>
      </c>
      <c r="D2" s="16" t="n">
        <v>46692</v>
      </c>
      <c r="E2" s="16" t="n">
        <v>47058</v>
      </c>
      <c r="F2" s="17" t="s">
        <v>634</v>
      </c>
      <c r="G2" s="17" t="s">
        <v>635</v>
      </c>
      <c r="H2" s="17"/>
      <c r="I2" s="17" t="s">
        <v>636</v>
      </c>
    </row>
    <row r="3" customFormat="false" ht="31.5" hidden="false" customHeight="true" outlineLevel="0" collapsed="false">
      <c r="A3" s="17" t="s">
        <v>121</v>
      </c>
      <c r="B3" s="17" t="s">
        <v>102</v>
      </c>
      <c r="C3" s="23" t="n">
        <v>58266493</v>
      </c>
      <c r="D3" s="16" t="n">
        <v>47014</v>
      </c>
      <c r="E3" s="16" t="n">
        <v>47379</v>
      </c>
      <c r="F3" s="17" t="s">
        <v>634</v>
      </c>
      <c r="G3" s="17" t="s">
        <v>635</v>
      </c>
      <c r="H3" s="17"/>
      <c r="I3" s="17" t="s">
        <v>636</v>
      </c>
    </row>
    <row r="4" customFormat="false" ht="31.5" hidden="false" customHeight="true" outlineLevel="0" collapsed="false">
      <c r="A4" s="17" t="s">
        <v>127</v>
      </c>
      <c r="B4" s="17" t="s">
        <v>128</v>
      </c>
      <c r="C4" s="23" t="n">
        <v>82000000</v>
      </c>
      <c r="D4" s="16" t="n">
        <v>46974</v>
      </c>
      <c r="E4" s="16" t="s">
        <v>637</v>
      </c>
      <c r="F4" s="17" t="s">
        <v>634</v>
      </c>
      <c r="G4" s="17" t="s">
        <v>638</v>
      </c>
      <c r="H4" s="17"/>
      <c r="I4" s="17" t="s">
        <v>639</v>
      </c>
    </row>
    <row r="5" customFormat="false" ht="45.75" hidden="false" customHeight="true" outlineLevel="0" collapsed="false">
      <c r="A5" s="17" t="s">
        <v>141</v>
      </c>
      <c r="B5" s="17" t="s">
        <v>142</v>
      </c>
      <c r="C5" s="23" t="n">
        <v>69500000</v>
      </c>
      <c r="D5" s="16" t="n">
        <v>47309</v>
      </c>
      <c r="E5" s="16" t="s">
        <v>640</v>
      </c>
      <c r="F5" s="17" t="s">
        <v>634</v>
      </c>
      <c r="G5" s="17" t="s">
        <v>641</v>
      </c>
      <c r="H5" s="17" t="s">
        <v>642</v>
      </c>
      <c r="I5" s="17" t="s">
        <v>222</v>
      </c>
    </row>
    <row r="6" customFormat="false" ht="31.5" hidden="false" customHeight="true" outlineLevel="0" collapsed="false">
      <c r="A6" s="17" t="s">
        <v>151</v>
      </c>
      <c r="B6" s="17" t="s">
        <v>152</v>
      </c>
      <c r="C6" s="23" t="n">
        <v>66490000</v>
      </c>
      <c r="D6" s="16" t="n">
        <v>47266</v>
      </c>
      <c r="E6" s="16" t="s">
        <v>643</v>
      </c>
      <c r="F6" s="17" t="s">
        <v>634</v>
      </c>
      <c r="G6" s="17" t="s">
        <v>644</v>
      </c>
      <c r="H6" s="17"/>
      <c r="I6" s="17" t="s">
        <v>645</v>
      </c>
    </row>
    <row r="7" customFormat="false" ht="31.5" hidden="false" customHeight="true" outlineLevel="0" collapsed="false">
      <c r="A7" s="17" t="s">
        <v>166</v>
      </c>
      <c r="B7" s="17" t="s">
        <v>167</v>
      </c>
      <c r="C7" s="23" t="n">
        <v>49202000</v>
      </c>
      <c r="D7" s="16" t="n">
        <v>47766</v>
      </c>
      <c r="E7" s="16"/>
      <c r="F7" s="17" t="s">
        <v>646</v>
      </c>
      <c r="G7" s="17" t="s">
        <v>638</v>
      </c>
      <c r="H7" s="17"/>
      <c r="I7" s="17" t="s">
        <v>645</v>
      </c>
    </row>
    <row r="8" customFormat="false" ht="31.5" hidden="false" customHeight="true" outlineLevel="0" collapsed="false">
      <c r="A8" s="17" t="s">
        <v>172</v>
      </c>
      <c r="B8" s="17" t="s">
        <v>173</v>
      </c>
      <c r="C8" s="23" t="n">
        <v>50000000</v>
      </c>
      <c r="D8" s="16" t="n">
        <v>47162</v>
      </c>
      <c r="E8" s="16" t="n">
        <v>47527</v>
      </c>
      <c r="F8" s="17" t="s">
        <v>634</v>
      </c>
      <c r="G8" s="17" t="s">
        <v>647</v>
      </c>
      <c r="H8" s="17"/>
      <c r="I8" s="17" t="s">
        <v>648</v>
      </c>
    </row>
    <row r="9" customFormat="false" ht="21" hidden="false" customHeight="true" outlineLevel="0" collapsed="false">
      <c r="A9" s="17" t="s">
        <v>184</v>
      </c>
      <c r="B9" s="17" t="s">
        <v>185</v>
      </c>
      <c r="C9" s="23" t="n">
        <v>44500000</v>
      </c>
      <c r="D9" s="16" t="n">
        <v>46997</v>
      </c>
      <c r="E9" s="16" t="n">
        <v>47727</v>
      </c>
      <c r="F9" s="17" t="s">
        <v>634</v>
      </c>
      <c r="G9" s="17" t="s">
        <v>638</v>
      </c>
      <c r="H9" s="17"/>
      <c r="I9" s="17" t="s">
        <v>222</v>
      </c>
    </row>
    <row r="10" customFormat="false" ht="31.5" hidden="false" customHeight="true" outlineLevel="0" collapsed="false">
      <c r="A10" s="17" t="s">
        <v>201</v>
      </c>
      <c r="B10" s="17" t="s">
        <v>202</v>
      </c>
      <c r="C10" s="23" t="n">
        <v>59900000</v>
      </c>
      <c r="D10" s="16" t="n">
        <v>46385</v>
      </c>
      <c r="E10" s="16" t="s">
        <v>640</v>
      </c>
      <c r="F10" s="17" t="s">
        <v>634</v>
      </c>
      <c r="G10" s="17" t="s">
        <v>649</v>
      </c>
      <c r="H10" s="17"/>
      <c r="I10" s="17" t="s">
        <v>650</v>
      </c>
    </row>
    <row r="11" customFormat="false" ht="45.75" hidden="false" customHeight="true" outlineLevel="0" collapsed="false">
      <c r="A11" s="17" t="s">
        <v>59</v>
      </c>
      <c r="B11" s="17" t="s">
        <v>207</v>
      </c>
      <c r="C11" s="23" t="n">
        <v>49200000</v>
      </c>
      <c r="D11" s="16" t="n">
        <v>46748</v>
      </c>
      <c r="E11" s="16" t="n">
        <v>47114</v>
      </c>
      <c r="F11" s="17" t="s">
        <v>634</v>
      </c>
      <c r="G11" s="17" t="s">
        <v>651</v>
      </c>
      <c r="H11" s="17" t="s">
        <v>652</v>
      </c>
      <c r="I11" s="17" t="s">
        <v>222</v>
      </c>
    </row>
    <row r="12" customFormat="false" ht="21" hidden="false" customHeight="true" outlineLevel="0" collapsed="false">
      <c r="A12" s="17" t="s">
        <v>31</v>
      </c>
      <c r="B12" s="17" t="s">
        <v>230</v>
      </c>
      <c r="C12" s="23" t="n">
        <v>52250000</v>
      </c>
      <c r="D12" s="16" t="n">
        <v>46519</v>
      </c>
      <c r="E12" s="16" t="n">
        <v>46885</v>
      </c>
      <c r="F12" s="17" t="s">
        <v>634</v>
      </c>
      <c r="G12" s="17" t="s">
        <v>653</v>
      </c>
      <c r="H12" s="17"/>
      <c r="I12" s="17" t="s">
        <v>645</v>
      </c>
    </row>
    <row r="13" customFormat="false" ht="45.75" hidden="false" customHeight="true" outlineLevel="0" collapsed="false">
      <c r="A13" s="17" t="s">
        <v>55</v>
      </c>
      <c r="B13" s="17" t="s">
        <v>250</v>
      </c>
      <c r="C13" s="23" t="n">
        <v>54250000</v>
      </c>
      <c r="D13" s="16" t="n">
        <v>46714</v>
      </c>
      <c r="E13" s="16" t="n">
        <v>47080</v>
      </c>
      <c r="F13" s="17" t="s">
        <v>634</v>
      </c>
      <c r="G13" s="17" t="s">
        <v>654</v>
      </c>
      <c r="H13" s="17"/>
      <c r="I13" s="17" t="s">
        <v>655</v>
      </c>
    </row>
    <row r="14" customFormat="false" ht="31.5" hidden="false" customHeight="true" outlineLevel="0" collapsed="false">
      <c r="A14" s="17" t="s">
        <v>67</v>
      </c>
      <c r="B14" s="17" t="s">
        <v>230</v>
      </c>
      <c r="C14" s="23" t="n">
        <v>37375630</v>
      </c>
      <c r="D14" s="16" t="n">
        <v>46748</v>
      </c>
      <c r="E14" s="16" t="n">
        <v>47296</v>
      </c>
      <c r="F14" s="17" t="s">
        <v>634</v>
      </c>
      <c r="G14" s="17" t="s">
        <v>656</v>
      </c>
      <c r="H14" s="17"/>
      <c r="I14" s="17" t="s">
        <v>657</v>
      </c>
    </row>
    <row r="15" customFormat="false" ht="45.75" hidden="false" customHeight="true" outlineLevel="0" collapsed="false">
      <c r="A15" s="17" t="s">
        <v>271</v>
      </c>
      <c r="B15" s="17" t="s">
        <v>272</v>
      </c>
      <c r="C15" s="23" t="n">
        <v>45600000</v>
      </c>
      <c r="D15" s="16" t="n">
        <v>46846</v>
      </c>
      <c r="E15" s="16" t="n">
        <v>47394</v>
      </c>
      <c r="F15" s="17" t="s">
        <v>634</v>
      </c>
      <c r="G15" s="17" t="s">
        <v>658</v>
      </c>
      <c r="H15" s="17" t="s">
        <v>659</v>
      </c>
      <c r="I15" s="17" t="s">
        <v>660</v>
      </c>
    </row>
    <row r="16" customFormat="false" ht="60" hidden="false" customHeight="true" outlineLevel="0" collapsed="false">
      <c r="A16" s="17" t="s">
        <v>286</v>
      </c>
      <c r="B16" s="17" t="s">
        <v>287</v>
      </c>
      <c r="C16" s="23" t="n">
        <v>548500000</v>
      </c>
      <c r="D16" s="16" t="n">
        <v>46914</v>
      </c>
      <c r="E16" s="16" t="n">
        <v>47644</v>
      </c>
      <c r="F16" s="17" t="s">
        <v>634</v>
      </c>
      <c r="G16" s="17" t="s">
        <v>638</v>
      </c>
      <c r="H16" s="17" t="s">
        <v>661</v>
      </c>
      <c r="I16" s="17" t="s">
        <v>662</v>
      </c>
    </row>
    <row r="17" customFormat="false" ht="60" hidden="false" customHeight="true" outlineLevel="0" collapsed="false">
      <c r="A17" s="17" t="s">
        <v>311</v>
      </c>
      <c r="B17" s="17" t="s">
        <v>312</v>
      </c>
      <c r="C17" s="23"/>
      <c r="D17" s="16" t="n">
        <v>47401</v>
      </c>
      <c r="E17" s="16" t="n">
        <v>48131</v>
      </c>
      <c r="F17" s="17" t="s">
        <v>634</v>
      </c>
      <c r="G17" s="17" t="s">
        <v>638</v>
      </c>
      <c r="H17" s="17" t="s">
        <v>661</v>
      </c>
      <c r="I17" s="17" t="s">
        <v>662</v>
      </c>
    </row>
    <row r="18" customFormat="false" ht="31.5" hidden="false" customHeight="true" outlineLevel="0" collapsed="false">
      <c r="A18" s="17" t="s">
        <v>322</v>
      </c>
      <c r="B18" s="17" t="s">
        <v>323</v>
      </c>
      <c r="C18" s="23" t="n">
        <v>51000000</v>
      </c>
      <c r="D18" s="16" t="n">
        <v>47280</v>
      </c>
      <c r="E18" s="16" t="n">
        <v>47828</v>
      </c>
      <c r="F18" s="17" t="s">
        <v>634</v>
      </c>
      <c r="G18" s="17" t="s">
        <v>663</v>
      </c>
      <c r="H18" s="17"/>
      <c r="I18" s="17" t="s">
        <v>645</v>
      </c>
    </row>
    <row r="19" customFormat="false" ht="31.5" hidden="false" customHeight="true" outlineLevel="0" collapsed="false">
      <c r="A19" s="17" t="s">
        <v>332</v>
      </c>
      <c r="B19" s="17" t="s">
        <v>102</v>
      </c>
      <c r="C19" s="23" t="n">
        <v>70226883</v>
      </c>
      <c r="D19" s="16" t="n">
        <v>47233</v>
      </c>
      <c r="E19" s="16" t="n">
        <v>47598</v>
      </c>
      <c r="F19" s="17" t="s">
        <v>634</v>
      </c>
      <c r="G19" s="17" t="s">
        <v>635</v>
      </c>
      <c r="H19" s="17"/>
      <c r="I19" s="17" t="s">
        <v>636</v>
      </c>
    </row>
    <row r="20" customFormat="false" ht="45.75" hidden="false" customHeight="true" outlineLevel="0" collapsed="false">
      <c r="A20" s="17" t="s">
        <v>336</v>
      </c>
      <c r="B20" s="17" t="s">
        <v>337</v>
      </c>
      <c r="C20" s="23" t="n">
        <v>63240018</v>
      </c>
      <c r="D20" s="16" t="n">
        <v>47245</v>
      </c>
      <c r="E20" s="16" t="n">
        <v>47794</v>
      </c>
      <c r="F20" s="17" t="s">
        <v>634</v>
      </c>
      <c r="G20" s="17" t="s">
        <v>664</v>
      </c>
      <c r="H20" s="17" t="s">
        <v>665</v>
      </c>
      <c r="I20" s="17" t="s">
        <v>237</v>
      </c>
    </row>
    <row r="21" customFormat="false" ht="31.5" hidden="false" customHeight="true" outlineLevel="0" collapsed="false">
      <c r="A21" s="17" t="s">
        <v>346</v>
      </c>
      <c r="B21" s="17" t="s">
        <v>202</v>
      </c>
      <c r="C21" s="23" t="n">
        <v>63744900</v>
      </c>
      <c r="D21" s="16" t="n">
        <v>46923</v>
      </c>
      <c r="E21" s="16" t="n">
        <v>47471</v>
      </c>
      <c r="F21" s="17" t="s">
        <v>634</v>
      </c>
      <c r="G21" s="17" t="s">
        <v>666</v>
      </c>
      <c r="H21" s="17"/>
      <c r="I21" s="17" t="s">
        <v>667</v>
      </c>
    </row>
    <row r="22" customFormat="false" ht="31.5" hidden="false" customHeight="true" outlineLevel="0" collapsed="false">
      <c r="A22" s="17" t="s">
        <v>350</v>
      </c>
      <c r="B22" s="17" t="s">
        <v>230</v>
      </c>
      <c r="C22" s="23" t="n">
        <v>58611497</v>
      </c>
      <c r="D22" s="16" t="n">
        <v>47250</v>
      </c>
      <c r="E22" s="16" t="n">
        <v>47799</v>
      </c>
      <c r="F22" s="17" t="s">
        <v>634</v>
      </c>
      <c r="G22" s="17" t="s">
        <v>656</v>
      </c>
      <c r="H22" s="17"/>
      <c r="I22" s="17" t="s">
        <v>645</v>
      </c>
    </row>
    <row r="23" customFormat="false" ht="31.5" hidden="false" customHeight="true" outlineLevel="0" collapsed="false">
      <c r="A23" s="17" t="s">
        <v>356</v>
      </c>
      <c r="B23" s="17" t="s">
        <v>357</v>
      </c>
      <c r="C23" s="23" t="n">
        <v>51694640</v>
      </c>
      <c r="D23" s="16" t="n">
        <v>46978</v>
      </c>
      <c r="E23" s="16" t="n">
        <v>47527</v>
      </c>
      <c r="F23" s="17" t="s">
        <v>634</v>
      </c>
      <c r="G23" s="17" t="s">
        <v>668</v>
      </c>
      <c r="H23" s="17"/>
      <c r="I23" s="17" t="s">
        <v>154</v>
      </c>
    </row>
    <row r="24" customFormat="false" ht="21" hidden="false" customHeight="true" outlineLevel="0" collapsed="false">
      <c r="A24" s="17" t="s">
        <v>367</v>
      </c>
      <c r="B24" s="17" t="s">
        <v>368</v>
      </c>
      <c r="C24" s="23" t="n">
        <v>56302865</v>
      </c>
      <c r="D24" s="16" t="n">
        <v>47202</v>
      </c>
      <c r="E24" s="16" t="n">
        <v>47751</v>
      </c>
      <c r="F24" s="17" t="s">
        <v>634</v>
      </c>
      <c r="G24" s="17" t="s">
        <v>669</v>
      </c>
      <c r="H24" s="17"/>
      <c r="I24" s="17" t="s">
        <v>154</v>
      </c>
    </row>
    <row r="25" customFormat="false" ht="45.75" hidden="false" customHeight="true" outlineLevel="0" collapsed="false">
      <c r="A25" s="17" t="s">
        <v>373</v>
      </c>
      <c r="B25" s="17" t="s">
        <v>337</v>
      </c>
      <c r="C25" s="23" t="n">
        <v>55082113</v>
      </c>
      <c r="D25" s="16" t="n">
        <v>47349</v>
      </c>
      <c r="E25" s="16" t="n">
        <v>47898</v>
      </c>
      <c r="F25" s="17" t="s">
        <v>634</v>
      </c>
      <c r="G25" s="17" t="s">
        <v>669</v>
      </c>
      <c r="H25" s="17" t="s">
        <v>665</v>
      </c>
      <c r="I25" s="17" t="s">
        <v>237</v>
      </c>
    </row>
    <row r="26" customFormat="false" ht="31.5" hidden="false" customHeight="true" outlineLevel="0" collapsed="false">
      <c r="A26" s="17" t="s">
        <v>377</v>
      </c>
      <c r="B26" s="17" t="s">
        <v>378</v>
      </c>
      <c r="C26" s="23" t="n">
        <v>38496000</v>
      </c>
      <c r="D26" s="16" t="s">
        <v>670</v>
      </c>
      <c r="E26" s="16" t="s">
        <v>671</v>
      </c>
      <c r="F26" s="17" t="s">
        <v>634</v>
      </c>
      <c r="G26" s="17" t="s">
        <v>651</v>
      </c>
      <c r="H26" s="17"/>
      <c r="I26" s="17" t="s">
        <v>672</v>
      </c>
    </row>
    <row r="27" customFormat="false" ht="21" hidden="false" customHeight="true" outlineLevel="0" collapsed="false">
      <c r="A27" s="17" t="s">
        <v>394</v>
      </c>
      <c r="B27" s="17" t="s">
        <v>395</v>
      </c>
      <c r="C27" s="23" t="n">
        <v>78000000</v>
      </c>
      <c r="D27" s="16" t="n">
        <v>47087</v>
      </c>
      <c r="E27" s="16" t="n">
        <v>47634</v>
      </c>
      <c r="F27" s="17" t="s">
        <v>634</v>
      </c>
      <c r="G27" s="17" t="s">
        <v>673</v>
      </c>
      <c r="H27" s="17"/>
      <c r="I27" s="17" t="s">
        <v>655</v>
      </c>
    </row>
    <row r="28" customFormat="false" ht="31.5" hidden="false" customHeight="true" outlineLevel="0" collapsed="false">
      <c r="A28" s="17" t="s">
        <v>402</v>
      </c>
      <c r="B28" s="17" t="s">
        <v>250</v>
      </c>
      <c r="C28" s="23" t="n">
        <v>56476922</v>
      </c>
      <c r="D28" s="16" t="n">
        <v>47434</v>
      </c>
      <c r="E28" s="16" t="n">
        <v>47799</v>
      </c>
      <c r="F28" s="17" t="s">
        <v>634</v>
      </c>
      <c r="G28" s="17" t="s">
        <v>674</v>
      </c>
      <c r="H28" s="17"/>
      <c r="I28" s="17" t="s">
        <v>667</v>
      </c>
    </row>
    <row r="29" customFormat="false" ht="21" hidden="false" customHeight="true" outlineLevel="0" collapsed="false">
      <c r="A29" s="17" t="s">
        <v>410</v>
      </c>
      <c r="B29" s="17" t="s">
        <v>207</v>
      </c>
      <c r="C29" s="23" t="n">
        <v>53870265</v>
      </c>
      <c r="D29" s="16" t="n">
        <v>47269</v>
      </c>
      <c r="E29" s="16" t="n">
        <v>47634</v>
      </c>
      <c r="F29" s="17" t="s">
        <v>634</v>
      </c>
      <c r="G29" s="17" t="s">
        <v>675</v>
      </c>
      <c r="H29" s="17"/>
      <c r="I29" s="17" t="s">
        <v>222</v>
      </c>
    </row>
    <row r="30" customFormat="false" ht="19.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</row>
    <row r="31" customFormat="false" ht="39.75" hidden="false" customHeight="true" outlineLevel="0" collapsed="false">
      <c r="A31" s="14" t="s">
        <v>676</v>
      </c>
      <c r="B31" s="14"/>
      <c r="C31" s="14"/>
      <c r="D31" s="14"/>
      <c r="E31" s="14"/>
      <c r="F31" s="14"/>
      <c r="G31" s="14"/>
      <c r="H31" s="14"/>
      <c r="I31" s="14"/>
    </row>
  </sheetData>
  <autoFilter ref="A1:I29"/>
  <mergeCells count="1">
    <mergeCell ref="A31:I31"/>
  </mergeCells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&amp;LLoan Terms&amp;CPage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C2" activeCellId="0" sqref="C2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true" outlineLevel="1" max="3" min="3" style="0" width="38.71"/>
    <col collapsed="false" customWidth="true" hidden="true" outlineLevel="1" max="4" min="4" style="0" width="6"/>
    <col collapsed="false" customWidth="true" hidden="true" outlineLevel="1" max="5" min="5" style="0" width="16"/>
    <col collapsed="false" customWidth="true" hidden="true" outlineLevel="1" max="6" min="6" style="0" width="24"/>
    <col collapsed="false" customWidth="true" hidden="true" outlineLevel="1" max="7" min="7" style="0" width="10"/>
    <col collapsed="false" customWidth="true" hidden="true" outlineLevel="1" max="8" min="8" style="0" width="44.71"/>
    <col collapsed="false" customWidth="true" hidden="false" outlineLevel="0" max="9" min="9" style="0" width="9.71"/>
    <col collapsed="false" customWidth="true" hidden="false" outlineLevel="0" max="10" min="10" style="0" width="14.71"/>
    <col collapsed="false" customWidth="true" hidden="false" outlineLevel="0" max="12" min="11" style="0" width="12.71"/>
    <col collapsed="false" customWidth="true" hidden="false" outlineLevel="0" max="14" min="13" style="0" width="17.71"/>
  </cols>
  <sheetData>
    <row r="1" customFormat="false" ht="31.5" hidden="false" customHeight="true" outlineLevel="0" collapsed="false">
      <c r="A1" s="15" t="s">
        <v>677</v>
      </c>
      <c r="B1" s="15" t="s">
        <v>8</v>
      </c>
      <c r="C1" s="15" t="s">
        <v>678</v>
      </c>
      <c r="D1" s="15" t="s">
        <v>679</v>
      </c>
      <c r="E1" s="15" t="s">
        <v>680</v>
      </c>
      <c r="F1" s="15" t="s">
        <v>681</v>
      </c>
      <c r="G1" s="15" t="s">
        <v>682</v>
      </c>
      <c r="H1" s="15" t="s">
        <v>683</v>
      </c>
      <c r="I1" s="15" t="s">
        <v>684</v>
      </c>
      <c r="J1" s="15" t="s">
        <v>685</v>
      </c>
      <c r="K1" s="15" t="s">
        <v>686</v>
      </c>
      <c r="L1" s="15" t="s">
        <v>687</v>
      </c>
      <c r="M1" s="15" t="s">
        <v>688</v>
      </c>
      <c r="N1" s="15" t="s">
        <v>689</v>
      </c>
    </row>
    <row r="2" customFormat="false" ht="21.75" hidden="false" customHeight="true" outlineLevel="0" collapsed="false">
      <c r="A2" s="20" t="n">
        <v>1</v>
      </c>
      <c r="B2" s="17" t="s">
        <v>49</v>
      </c>
      <c r="C2" s="17" t="s">
        <v>690</v>
      </c>
      <c r="D2" s="20" t="s">
        <v>691</v>
      </c>
      <c r="E2" s="17" t="s">
        <v>692</v>
      </c>
      <c r="F2" s="17" t="s">
        <v>693</v>
      </c>
      <c r="G2" s="17" t="s">
        <v>694</v>
      </c>
      <c r="H2" s="17" t="s">
        <v>695</v>
      </c>
      <c r="I2" s="24" t="n">
        <v>224</v>
      </c>
      <c r="J2" s="20" t="s">
        <v>105</v>
      </c>
      <c r="K2" s="25" t="n">
        <v>0.9241</v>
      </c>
      <c r="L2" s="25" t="n">
        <v>0.9286</v>
      </c>
      <c r="M2" s="23" t="n">
        <v>4751037</v>
      </c>
      <c r="N2" s="23" t="n">
        <v>2483903</v>
      </c>
    </row>
    <row r="3" customFormat="false" ht="21.75" hidden="false" customHeight="true" outlineLevel="0" collapsed="false">
      <c r="A3" s="20" t="n">
        <v>2</v>
      </c>
      <c r="B3" s="17" t="s">
        <v>121</v>
      </c>
      <c r="C3" s="17" t="s">
        <v>696</v>
      </c>
      <c r="D3" s="20" t="s">
        <v>697</v>
      </c>
      <c r="E3" s="17" t="s">
        <v>698</v>
      </c>
      <c r="F3" s="17" t="s">
        <v>121</v>
      </c>
      <c r="G3" s="17" t="s">
        <v>699</v>
      </c>
      <c r="H3" s="17" t="s">
        <v>700</v>
      </c>
      <c r="I3" s="24" t="n">
        <v>276</v>
      </c>
      <c r="J3" s="20" t="s">
        <v>105</v>
      </c>
      <c r="K3" s="25" t="n">
        <v>0.8841</v>
      </c>
      <c r="L3" s="25" t="n">
        <v>0.9312</v>
      </c>
      <c r="M3" s="23" t="n">
        <v>5932626</v>
      </c>
      <c r="N3" s="23" t="n">
        <v>3356960</v>
      </c>
    </row>
    <row r="4" customFormat="false" ht="33" hidden="false" customHeight="true" outlineLevel="0" collapsed="false">
      <c r="A4" s="20" t="n">
        <v>3</v>
      </c>
      <c r="B4" s="17" t="s">
        <v>127</v>
      </c>
      <c r="C4" s="17" t="s">
        <v>701</v>
      </c>
      <c r="D4" s="20" t="s">
        <v>697</v>
      </c>
      <c r="E4" s="17" t="s">
        <v>702</v>
      </c>
      <c r="F4" s="17" t="s">
        <v>703</v>
      </c>
      <c r="G4" s="17" t="s">
        <v>704</v>
      </c>
      <c r="H4" s="17" t="s">
        <v>705</v>
      </c>
      <c r="I4" s="24" t="n">
        <v>319</v>
      </c>
      <c r="J4" s="20" t="s">
        <v>105</v>
      </c>
      <c r="K4" s="25" t="n">
        <v>0.93</v>
      </c>
      <c r="L4" s="25" t="n">
        <v>0.945</v>
      </c>
      <c r="M4" s="23" t="n">
        <v>8380804</v>
      </c>
      <c r="N4" s="23" t="n">
        <v>5638593</v>
      </c>
    </row>
    <row r="5" customFormat="false" ht="21.75" hidden="false" customHeight="true" outlineLevel="0" collapsed="false">
      <c r="A5" s="20" t="n">
        <v>4</v>
      </c>
      <c r="B5" s="17" t="s">
        <v>141</v>
      </c>
      <c r="C5" s="17" t="s">
        <v>706</v>
      </c>
      <c r="D5" s="20" t="s">
        <v>697</v>
      </c>
      <c r="E5" s="17" t="s">
        <v>702</v>
      </c>
      <c r="F5" s="17" t="s">
        <v>707</v>
      </c>
      <c r="G5" s="17" t="s">
        <v>708</v>
      </c>
      <c r="H5" s="17" t="s">
        <v>709</v>
      </c>
      <c r="I5" s="24" t="n">
        <v>344</v>
      </c>
      <c r="J5" s="20" t="s">
        <v>105</v>
      </c>
      <c r="K5" s="25" t="n">
        <v>0.8023</v>
      </c>
      <c r="L5" s="25" t="n">
        <v>0.936</v>
      </c>
      <c r="M5" s="23" t="n">
        <v>7857184</v>
      </c>
      <c r="N5" s="23" t="n">
        <v>5070369</v>
      </c>
    </row>
    <row r="6" customFormat="false" ht="21.75" hidden="false" customHeight="true" outlineLevel="0" collapsed="false">
      <c r="A6" s="20" t="n">
        <v>5</v>
      </c>
      <c r="B6" s="17" t="s">
        <v>151</v>
      </c>
      <c r="C6" s="17" t="s">
        <v>710</v>
      </c>
      <c r="D6" s="20" t="s">
        <v>711</v>
      </c>
      <c r="E6" s="17" t="s">
        <v>151</v>
      </c>
      <c r="F6" s="17" t="s">
        <v>712</v>
      </c>
      <c r="G6" s="17" t="s">
        <v>713</v>
      </c>
      <c r="H6" s="17" t="s">
        <v>714</v>
      </c>
      <c r="I6" s="24" t="n">
        <v>320</v>
      </c>
      <c r="J6" s="20" t="s">
        <v>105</v>
      </c>
      <c r="K6" s="25" t="n">
        <v>0.845</v>
      </c>
      <c r="L6" s="25" t="n">
        <v>0.9375</v>
      </c>
      <c r="M6" s="23" t="n">
        <v>6946227</v>
      </c>
      <c r="N6" s="23" t="n">
        <v>3726202</v>
      </c>
    </row>
    <row r="7" customFormat="false" ht="21.75" hidden="false" customHeight="true" outlineLevel="0" collapsed="false">
      <c r="A7" s="20" t="n">
        <v>6</v>
      </c>
      <c r="B7" s="17" t="s">
        <v>166</v>
      </c>
      <c r="C7" s="17" t="s">
        <v>715</v>
      </c>
      <c r="D7" s="20" t="s">
        <v>711</v>
      </c>
      <c r="E7" s="17" t="s">
        <v>716</v>
      </c>
      <c r="F7" s="17" t="s">
        <v>717</v>
      </c>
      <c r="G7" s="17" t="s">
        <v>718</v>
      </c>
      <c r="H7" s="17" t="s">
        <v>719</v>
      </c>
      <c r="I7" s="24" t="n">
        <v>312</v>
      </c>
      <c r="J7" s="20" t="s">
        <v>105</v>
      </c>
      <c r="K7" s="25" t="n">
        <v>0.94</v>
      </c>
      <c r="L7" s="25" t="n">
        <v>0.9375</v>
      </c>
      <c r="M7" s="23" t="n">
        <v>6217086</v>
      </c>
      <c r="N7" s="23" t="n">
        <v>3475011</v>
      </c>
    </row>
    <row r="8" customFormat="false" ht="21.75" hidden="false" customHeight="true" outlineLevel="0" collapsed="false">
      <c r="A8" s="20" t="n">
        <v>7</v>
      </c>
      <c r="B8" s="17" t="s">
        <v>172</v>
      </c>
      <c r="C8" s="17" t="s">
        <v>720</v>
      </c>
      <c r="D8" s="20" t="s">
        <v>711</v>
      </c>
      <c r="E8" s="17" t="s">
        <v>721</v>
      </c>
      <c r="F8" s="17" t="s">
        <v>722</v>
      </c>
      <c r="G8" s="17" t="s">
        <v>723</v>
      </c>
      <c r="H8" s="17" t="s">
        <v>724</v>
      </c>
      <c r="I8" s="24" t="n">
        <v>312</v>
      </c>
      <c r="J8" s="20" t="s">
        <v>105</v>
      </c>
      <c r="K8" s="25" t="n">
        <v>0.6314</v>
      </c>
      <c r="L8" s="25" t="n">
        <v>0.9551</v>
      </c>
      <c r="M8" s="23" t="n">
        <v>6001255</v>
      </c>
      <c r="N8" s="23" t="n">
        <v>3067871</v>
      </c>
    </row>
    <row r="9" customFormat="false" ht="21.75" hidden="false" customHeight="true" outlineLevel="0" collapsed="false">
      <c r="A9" s="20" t="n">
        <v>8</v>
      </c>
      <c r="B9" s="17" t="s">
        <v>184</v>
      </c>
      <c r="C9" s="17" t="s">
        <v>725</v>
      </c>
      <c r="D9" s="20" t="s">
        <v>711</v>
      </c>
      <c r="E9" s="17" t="s">
        <v>184</v>
      </c>
      <c r="F9" s="17" t="s">
        <v>726</v>
      </c>
      <c r="G9" s="17" t="s">
        <v>727</v>
      </c>
      <c r="H9" s="17" t="s">
        <v>728</v>
      </c>
      <c r="I9" s="24" t="n">
        <v>214</v>
      </c>
      <c r="J9" s="20" t="s">
        <v>105</v>
      </c>
      <c r="K9" s="25" t="n">
        <v>0.945</v>
      </c>
      <c r="L9" s="25" t="n">
        <v>0.9486</v>
      </c>
      <c r="M9" s="23" t="n">
        <v>5947819</v>
      </c>
      <c r="N9" s="23" t="n">
        <v>2862637</v>
      </c>
    </row>
    <row r="10" customFormat="false" ht="21.75" hidden="false" customHeight="true" outlineLevel="0" collapsed="false">
      <c r="A10" s="20" t="n">
        <v>9</v>
      </c>
      <c r="B10" s="17" t="s">
        <v>201</v>
      </c>
      <c r="C10" s="17" t="s">
        <v>729</v>
      </c>
      <c r="D10" s="20" t="s">
        <v>711</v>
      </c>
      <c r="E10" s="17" t="s">
        <v>201</v>
      </c>
      <c r="F10" s="17" t="s">
        <v>730</v>
      </c>
      <c r="G10" s="17" t="s">
        <v>731</v>
      </c>
      <c r="H10" s="17" t="s">
        <v>732</v>
      </c>
      <c r="I10" s="24" t="n">
        <v>257</v>
      </c>
      <c r="J10" s="20" t="s">
        <v>105</v>
      </c>
      <c r="K10" s="25" t="n">
        <v>0.9416</v>
      </c>
      <c r="L10" s="25" t="n">
        <v>0.9416</v>
      </c>
      <c r="M10" s="23" t="n">
        <v>6769948</v>
      </c>
      <c r="N10" s="23" t="n">
        <v>3866275</v>
      </c>
    </row>
    <row r="11" customFormat="false" ht="21.75" hidden="false" customHeight="true" outlineLevel="0" collapsed="false">
      <c r="A11" s="20" t="n">
        <v>10</v>
      </c>
      <c r="B11" s="17" t="s">
        <v>59</v>
      </c>
      <c r="C11" s="17" t="s">
        <v>733</v>
      </c>
      <c r="D11" s="20" t="s">
        <v>711</v>
      </c>
      <c r="E11" s="17" t="s">
        <v>59</v>
      </c>
      <c r="F11" s="17" t="s">
        <v>734</v>
      </c>
      <c r="G11" s="17" t="s">
        <v>735</v>
      </c>
      <c r="H11" s="17" t="s">
        <v>736</v>
      </c>
      <c r="I11" s="24" t="n">
        <v>324</v>
      </c>
      <c r="J11" s="20" t="s">
        <v>105</v>
      </c>
      <c r="K11" s="25" t="n">
        <v>0.716</v>
      </c>
      <c r="L11" s="25" t="n">
        <v>0.9198</v>
      </c>
      <c r="M11" s="23" t="n">
        <v>5623746</v>
      </c>
      <c r="N11" s="23" t="n">
        <v>2358144</v>
      </c>
    </row>
    <row r="12" customFormat="false" ht="21.75" hidden="false" customHeight="true" outlineLevel="0" collapsed="false">
      <c r="A12" s="20" t="n">
        <v>11</v>
      </c>
      <c r="B12" s="17" t="s">
        <v>31</v>
      </c>
      <c r="C12" s="17" t="s">
        <v>737</v>
      </c>
      <c r="D12" s="20" t="s">
        <v>711</v>
      </c>
      <c r="E12" s="17" t="s">
        <v>31</v>
      </c>
      <c r="F12" s="17" t="s">
        <v>738</v>
      </c>
      <c r="G12" s="17" t="s">
        <v>739</v>
      </c>
      <c r="H12" s="17" t="s">
        <v>740</v>
      </c>
      <c r="I12" s="24" t="n">
        <v>244</v>
      </c>
      <c r="J12" s="20" t="s">
        <v>105</v>
      </c>
      <c r="K12" s="25" t="n">
        <v>0.9303</v>
      </c>
      <c r="L12" s="25" t="n">
        <v>0.9303</v>
      </c>
      <c r="M12" s="23" t="n">
        <v>6177110</v>
      </c>
      <c r="N12" s="23" t="n">
        <v>3351793</v>
      </c>
    </row>
    <row r="13" customFormat="false" ht="21.75" hidden="false" customHeight="true" outlineLevel="0" collapsed="false">
      <c r="A13" s="20" t="n">
        <v>12</v>
      </c>
      <c r="B13" s="17" t="s">
        <v>55</v>
      </c>
      <c r="C13" s="17" t="s">
        <v>741</v>
      </c>
      <c r="D13" s="20" t="s">
        <v>742</v>
      </c>
      <c r="E13" s="17" t="s">
        <v>55</v>
      </c>
      <c r="F13" s="17" t="s">
        <v>743</v>
      </c>
      <c r="G13" s="17" t="s">
        <v>744</v>
      </c>
      <c r="H13" s="17" t="s">
        <v>745</v>
      </c>
      <c r="I13" s="24" t="n">
        <v>360</v>
      </c>
      <c r="J13" s="20" t="s">
        <v>105</v>
      </c>
      <c r="K13" s="25" t="n">
        <v>0.6389</v>
      </c>
      <c r="L13" s="25" t="n">
        <v>0.85</v>
      </c>
      <c r="M13" s="23" t="n">
        <v>5920764</v>
      </c>
      <c r="N13" s="23" t="n">
        <v>2727792</v>
      </c>
    </row>
    <row r="14" customFormat="false" ht="21.75" hidden="false" customHeight="true" outlineLevel="0" collapsed="false">
      <c r="A14" s="20" t="n">
        <v>13</v>
      </c>
      <c r="B14" s="17" t="s">
        <v>67</v>
      </c>
      <c r="C14" s="17" t="s">
        <v>746</v>
      </c>
      <c r="D14" s="20" t="s">
        <v>742</v>
      </c>
      <c r="E14" s="17" t="s">
        <v>67</v>
      </c>
      <c r="F14" s="17" t="s">
        <v>747</v>
      </c>
      <c r="G14" s="17" t="s">
        <v>748</v>
      </c>
      <c r="H14" s="17" t="s">
        <v>749</v>
      </c>
      <c r="I14" s="24" t="n">
        <v>212</v>
      </c>
      <c r="J14" s="20" t="s">
        <v>105</v>
      </c>
      <c r="K14" s="25" t="n">
        <v>0.9528</v>
      </c>
      <c r="L14" s="25" t="n">
        <v>0.9528</v>
      </c>
      <c r="M14" s="23" t="n">
        <v>5247208</v>
      </c>
      <c r="N14" s="23" t="n">
        <v>2935407</v>
      </c>
    </row>
    <row r="15" customFormat="false" ht="21.75" hidden="false" customHeight="true" outlineLevel="0" collapsed="false">
      <c r="A15" s="20" t="n">
        <v>14</v>
      </c>
      <c r="B15" s="17" t="s">
        <v>271</v>
      </c>
      <c r="C15" s="17" t="s">
        <v>750</v>
      </c>
      <c r="D15" s="20" t="s">
        <v>751</v>
      </c>
      <c r="E15" s="17" t="s">
        <v>752</v>
      </c>
      <c r="F15" s="17" t="s">
        <v>753</v>
      </c>
      <c r="G15" s="17" t="s">
        <v>754</v>
      </c>
      <c r="H15" s="17" t="s">
        <v>755</v>
      </c>
      <c r="I15" s="24" t="n">
        <v>264</v>
      </c>
      <c r="J15" s="20" t="s">
        <v>105</v>
      </c>
      <c r="K15" s="25" t="n">
        <v>0.8598</v>
      </c>
      <c r="L15" s="25" t="n">
        <v>0.9318</v>
      </c>
      <c r="M15" s="23" t="n">
        <v>5511678</v>
      </c>
      <c r="N15" s="23" t="n">
        <v>3177353</v>
      </c>
    </row>
    <row r="16" customFormat="false" ht="33" hidden="false" customHeight="true" outlineLevel="0" collapsed="false">
      <c r="A16" s="20" t="n">
        <v>15</v>
      </c>
      <c r="B16" s="17" t="s">
        <v>286</v>
      </c>
      <c r="C16" s="17" t="s">
        <v>756</v>
      </c>
      <c r="D16" s="20"/>
      <c r="E16" s="17"/>
      <c r="F16" s="17"/>
      <c r="G16" s="17"/>
      <c r="H16" s="17"/>
      <c r="I16" s="26" t="n">
        <f aca="false">I43</f>
        <v>2543</v>
      </c>
      <c r="J16" s="20" t="s">
        <v>105</v>
      </c>
      <c r="K16" s="27" t="n">
        <f aca="false">K43</f>
        <v>0.940314746362564</v>
      </c>
      <c r="L16" s="27" t="n">
        <f aca="false">L43</f>
        <v>0.939040975226111</v>
      </c>
      <c r="M16" s="28" t="n">
        <f aca="false">M43</f>
        <v>57796804</v>
      </c>
      <c r="N16" s="28" t="n">
        <f aca="false">N43</f>
        <v>32302907</v>
      </c>
    </row>
    <row r="17" customFormat="false" ht="33" hidden="false" customHeight="true" outlineLevel="0" collapsed="false">
      <c r="A17" s="20" t="n">
        <v>16</v>
      </c>
      <c r="B17" s="17" t="s">
        <v>311</v>
      </c>
      <c r="C17" s="17" t="s">
        <v>757</v>
      </c>
      <c r="D17" s="20"/>
      <c r="E17" s="17"/>
      <c r="F17" s="17"/>
      <c r="G17" s="17"/>
      <c r="H17" s="17"/>
      <c r="I17" s="26" t="n">
        <f aca="false">I55</f>
        <v>2412</v>
      </c>
      <c r="J17" s="20" t="s">
        <v>105</v>
      </c>
      <c r="K17" s="27" t="n">
        <f aca="false">K55</f>
        <v>0.796004975124378</v>
      </c>
      <c r="L17" s="27" t="n">
        <f aca="false">L55</f>
        <v>0.939482421227197</v>
      </c>
      <c r="M17" s="28" t="n">
        <f aca="false">M55</f>
        <v>52176426</v>
      </c>
      <c r="N17" s="28" t="n">
        <f aca="false">N55</f>
        <v>28605440</v>
      </c>
    </row>
    <row r="18" customFormat="false" ht="33" hidden="false" customHeight="true" outlineLevel="0" collapsed="false">
      <c r="A18" s="20" t="n">
        <v>17</v>
      </c>
      <c r="B18" s="17" t="s">
        <v>322</v>
      </c>
      <c r="C18" s="17" t="s">
        <v>758</v>
      </c>
      <c r="D18" s="20" t="s">
        <v>759</v>
      </c>
      <c r="E18" s="17" t="s">
        <v>760</v>
      </c>
      <c r="F18" s="17" t="s">
        <v>761</v>
      </c>
      <c r="G18" s="17" t="s">
        <v>762</v>
      </c>
      <c r="H18" s="17" t="s">
        <v>763</v>
      </c>
      <c r="I18" s="24" t="n">
        <v>324</v>
      </c>
      <c r="J18" s="20" t="s">
        <v>123</v>
      </c>
      <c r="K18" s="25" t="n">
        <v>0</v>
      </c>
      <c r="L18" s="25" t="n">
        <v>0.2438</v>
      </c>
      <c r="M18" s="23" t="n">
        <v>47144</v>
      </c>
      <c r="N18" s="23" t="n">
        <v>-220413</v>
      </c>
    </row>
    <row r="19" customFormat="false" ht="21.75" hidden="false" customHeight="true" outlineLevel="0" collapsed="false">
      <c r="A19" s="20" t="n">
        <v>18</v>
      </c>
      <c r="B19" s="17" t="s">
        <v>332</v>
      </c>
      <c r="C19" s="17" t="s">
        <v>764</v>
      </c>
      <c r="D19" s="20" t="s">
        <v>691</v>
      </c>
      <c r="E19" s="17" t="s">
        <v>765</v>
      </c>
      <c r="F19" s="17" t="s">
        <v>766</v>
      </c>
      <c r="G19" s="17" t="s">
        <v>767</v>
      </c>
      <c r="H19" s="17" t="s">
        <v>768</v>
      </c>
      <c r="I19" s="24" t="n">
        <v>300</v>
      </c>
      <c r="J19" s="20" t="s">
        <v>123</v>
      </c>
      <c r="K19" s="25" t="n">
        <v>0.0733</v>
      </c>
      <c r="L19" s="25" t="n">
        <v>0.6667</v>
      </c>
      <c r="M19" s="23" t="n">
        <v>2255044</v>
      </c>
      <c r="N19" s="23" t="n">
        <v>152599</v>
      </c>
    </row>
    <row r="20" customFormat="false" ht="21.75" hidden="false" customHeight="true" outlineLevel="0" collapsed="false">
      <c r="A20" s="20" t="n">
        <v>19</v>
      </c>
      <c r="B20" s="17" t="s">
        <v>336</v>
      </c>
      <c r="C20" s="17" t="s">
        <v>769</v>
      </c>
      <c r="D20" s="20" t="s">
        <v>697</v>
      </c>
      <c r="E20" s="17" t="s">
        <v>698</v>
      </c>
      <c r="F20" s="17" t="s">
        <v>770</v>
      </c>
      <c r="G20" s="17" t="s">
        <v>771</v>
      </c>
      <c r="H20" s="17" t="s">
        <v>772</v>
      </c>
      <c r="I20" s="24" t="n">
        <v>336</v>
      </c>
      <c r="J20" s="20" t="s">
        <v>123</v>
      </c>
      <c r="K20" s="25" t="n">
        <v>0.0238</v>
      </c>
      <c r="L20" s="25" t="n">
        <v>0.4725</v>
      </c>
      <c r="M20" s="23" t="n">
        <v>1471588</v>
      </c>
      <c r="N20" s="23" t="n">
        <v>1190312</v>
      </c>
    </row>
    <row r="21" customFormat="false" ht="21.75" hidden="false" customHeight="true" outlineLevel="0" collapsed="false">
      <c r="A21" s="20" t="n">
        <v>20</v>
      </c>
      <c r="B21" s="17" t="s">
        <v>346</v>
      </c>
      <c r="C21" s="17" t="s">
        <v>773</v>
      </c>
      <c r="D21" s="20" t="s">
        <v>697</v>
      </c>
      <c r="E21" s="17" t="s">
        <v>774</v>
      </c>
      <c r="F21" s="17" t="s">
        <v>775</v>
      </c>
      <c r="G21" s="17" t="s">
        <v>776</v>
      </c>
      <c r="H21" s="17" t="s">
        <v>777</v>
      </c>
      <c r="I21" s="24" t="n">
        <v>324</v>
      </c>
      <c r="J21" s="20" t="s">
        <v>123</v>
      </c>
      <c r="K21" s="25" t="n">
        <v>0.4012</v>
      </c>
      <c r="L21" s="25" t="n">
        <v>0.8395</v>
      </c>
      <c r="M21" s="23" t="n">
        <v>4107207</v>
      </c>
      <c r="N21" s="23" t="n">
        <v>1835421</v>
      </c>
    </row>
    <row r="22" customFormat="false" ht="21.75" hidden="false" customHeight="true" outlineLevel="0" collapsed="false">
      <c r="A22" s="20" t="n">
        <v>21</v>
      </c>
      <c r="B22" s="17" t="s">
        <v>350</v>
      </c>
      <c r="C22" s="17" t="s">
        <v>778</v>
      </c>
      <c r="D22" s="20" t="s">
        <v>697</v>
      </c>
      <c r="E22" s="17" t="s">
        <v>779</v>
      </c>
      <c r="F22" s="17" t="s">
        <v>780</v>
      </c>
      <c r="G22" s="17" t="s">
        <v>781</v>
      </c>
      <c r="H22" s="17" t="s">
        <v>782</v>
      </c>
      <c r="I22" s="24" t="n">
        <v>300</v>
      </c>
      <c r="J22" s="20" t="s">
        <v>123</v>
      </c>
      <c r="K22" s="25" t="n">
        <v>0.0267</v>
      </c>
      <c r="L22" s="25" t="n">
        <v>0.5325</v>
      </c>
      <c r="M22" s="23" t="n">
        <v>1322278</v>
      </c>
      <c r="N22" s="23" t="n">
        <v>1029818</v>
      </c>
    </row>
    <row r="23" customFormat="false" ht="21.75" hidden="false" customHeight="true" outlineLevel="0" collapsed="false">
      <c r="A23" s="20" t="n">
        <v>22</v>
      </c>
      <c r="B23" s="17" t="s">
        <v>356</v>
      </c>
      <c r="C23" s="17" t="s">
        <v>783</v>
      </c>
      <c r="D23" s="20" t="s">
        <v>697</v>
      </c>
      <c r="E23" s="17" t="s">
        <v>356</v>
      </c>
      <c r="F23" s="17" t="s">
        <v>784</v>
      </c>
      <c r="G23" s="17" t="s">
        <v>785</v>
      </c>
      <c r="H23" s="17" t="s">
        <v>786</v>
      </c>
      <c r="I23" s="24" t="n">
        <v>255</v>
      </c>
      <c r="J23" s="20" t="s">
        <v>123</v>
      </c>
      <c r="K23" s="25" t="n">
        <v>0.1608</v>
      </c>
      <c r="L23" s="25" t="n">
        <v>0.7686</v>
      </c>
      <c r="M23" s="23" t="n">
        <v>2689627</v>
      </c>
      <c r="N23" s="23" t="n">
        <v>662984</v>
      </c>
    </row>
    <row r="24" customFormat="false" ht="21.75" hidden="false" customHeight="true" outlineLevel="0" collapsed="false">
      <c r="A24" s="20" t="n">
        <v>23</v>
      </c>
      <c r="B24" s="17" t="s">
        <v>367</v>
      </c>
      <c r="C24" s="17" t="s">
        <v>787</v>
      </c>
      <c r="D24" s="20" t="s">
        <v>742</v>
      </c>
      <c r="E24" s="17" t="s">
        <v>367</v>
      </c>
      <c r="F24" s="17" t="s">
        <v>788</v>
      </c>
      <c r="G24" s="17" t="s">
        <v>789</v>
      </c>
      <c r="H24" s="17" t="s">
        <v>790</v>
      </c>
      <c r="I24" s="24" t="n">
        <v>300</v>
      </c>
      <c r="J24" s="20" t="s">
        <v>123</v>
      </c>
      <c r="K24" s="25" t="n">
        <v>0</v>
      </c>
      <c r="L24" s="25" t="n">
        <v>0.4533</v>
      </c>
      <c r="M24" s="23" t="n">
        <v>31100</v>
      </c>
      <c r="N24" s="23" t="n">
        <v>-249899</v>
      </c>
    </row>
    <row r="25" customFormat="false" ht="21.75" hidden="false" customHeight="true" outlineLevel="0" collapsed="false">
      <c r="A25" s="20" t="n">
        <v>24</v>
      </c>
      <c r="B25" s="17" t="s">
        <v>373</v>
      </c>
      <c r="C25" s="17" t="s">
        <v>791</v>
      </c>
      <c r="D25" s="20" t="s">
        <v>742</v>
      </c>
      <c r="E25" s="17" t="s">
        <v>373</v>
      </c>
      <c r="F25" s="17" t="s">
        <v>792</v>
      </c>
      <c r="G25" s="17" t="s">
        <v>793</v>
      </c>
      <c r="H25" s="17" t="s">
        <v>794</v>
      </c>
      <c r="I25" s="24" t="n">
        <v>300</v>
      </c>
      <c r="J25" s="20" t="s">
        <v>123</v>
      </c>
      <c r="K25" s="25" t="n">
        <v>0</v>
      </c>
      <c r="L25" s="25" t="n">
        <v>0.4067</v>
      </c>
      <c r="M25" s="23" t="n">
        <v>1088088</v>
      </c>
      <c r="N25" s="23" t="n">
        <v>815610</v>
      </c>
    </row>
    <row r="26" customFormat="false" ht="21.75" hidden="false" customHeight="true" outlineLevel="0" collapsed="false">
      <c r="A26" s="20" t="n">
        <v>25</v>
      </c>
      <c r="B26" s="17" t="s">
        <v>377</v>
      </c>
      <c r="C26" s="17" t="s">
        <v>795</v>
      </c>
      <c r="D26" s="20" t="s">
        <v>742</v>
      </c>
      <c r="E26" s="17" t="s">
        <v>377</v>
      </c>
      <c r="F26" s="17" t="s">
        <v>796</v>
      </c>
      <c r="G26" s="17" t="s">
        <v>797</v>
      </c>
      <c r="H26" s="17" t="s">
        <v>798</v>
      </c>
      <c r="I26" s="24" t="n">
        <v>214</v>
      </c>
      <c r="J26" s="20" t="s">
        <v>123</v>
      </c>
      <c r="K26" s="25" t="n">
        <v>0</v>
      </c>
      <c r="L26" s="25" t="n">
        <v>0.6916</v>
      </c>
      <c r="M26" s="23" t="n">
        <v>-385889</v>
      </c>
      <c r="N26" s="23" t="n">
        <v>-638157</v>
      </c>
    </row>
    <row r="27" customFormat="false" ht="21.75" hidden="false" customHeight="true" outlineLevel="0" collapsed="false">
      <c r="A27" s="20" t="n">
        <v>26</v>
      </c>
      <c r="B27" s="17" t="s">
        <v>394</v>
      </c>
      <c r="C27" s="17" t="s">
        <v>799</v>
      </c>
      <c r="D27" s="20" t="s">
        <v>800</v>
      </c>
      <c r="E27" s="17" t="s">
        <v>801</v>
      </c>
      <c r="F27" s="17" t="s">
        <v>802</v>
      </c>
      <c r="G27" s="17" t="s">
        <v>803</v>
      </c>
      <c r="H27" s="17" t="s">
        <v>804</v>
      </c>
      <c r="I27" s="24" t="n">
        <v>251</v>
      </c>
      <c r="J27" s="20" t="s">
        <v>123</v>
      </c>
      <c r="K27" s="25" t="n">
        <v>0.1912</v>
      </c>
      <c r="L27" s="25" t="n">
        <v>0.8008</v>
      </c>
      <c r="M27" s="23" t="n">
        <v>2902183</v>
      </c>
      <c r="N27" s="23" t="n">
        <v>1077708</v>
      </c>
    </row>
    <row r="28" customFormat="false" ht="21.75" hidden="false" customHeight="true" outlineLevel="0" collapsed="false">
      <c r="A28" s="20" t="n">
        <v>27</v>
      </c>
      <c r="B28" s="17" t="s">
        <v>402</v>
      </c>
      <c r="C28" s="17" t="s">
        <v>805</v>
      </c>
      <c r="D28" s="20" t="s">
        <v>800</v>
      </c>
      <c r="E28" s="17" t="s">
        <v>806</v>
      </c>
      <c r="F28" s="17" t="s">
        <v>807</v>
      </c>
      <c r="G28" s="17" t="s">
        <v>808</v>
      </c>
      <c r="H28" s="17" t="s">
        <v>809</v>
      </c>
      <c r="I28" s="24" t="n">
        <v>350</v>
      </c>
      <c r="J28" s="20" t="s">
        <v>123</v>
      </c>
      <c r="K28" s="25" t="n">
        <v>0</v>
      </c>
      <c r="L28" s="25" t="n">
        <v>0.435</v>
      </c>
      <c r="M28" s="23" t="n">
        <v>1053594</v>
      </c>
      <c r="N28" s="23" t="n">
        <v>777099</v>
      </c>
    </row>
    <row r="29" customFormat="false" ht="21.75" hidden="false" customHeight="true" outlineLevel="0" collapsed="false">
      <c r="A29" s="20" t="n">
        <v>28</v>
      </c>
      <c r="B29" s="17" t="s">
        <v>410</v>
      </c>
      <c r="C29" s="17" t="s">
        <v>810</v>
      </c>
      <c r="D29" s="20" t="s">
        <v>811</v>
      </c>
      <c r="E29" s="17" t="s">
        <v>410</v>
      </c>
      <c r="F29" s="17" t="s">
        <v>812</v>
      </c>
      <c r="G29" s="17" t="s">
        <v>813</v>
      </c>
      <c r="H29" s="17" t="s">
        <v>814</v>
      </c>
      <c r="I29" s="24" t="n">
        <v>303</v>
      </c>
      <c r="J29" s="20" t="s">
        <v>123</v>
      </c>
      <c r="K29" s="25" t="n">
        <v>0</v>
      </c>
      <c r="L29" s="25" t="n">
        <v>0.4422</v>
      </c>
      <c r="M29" s="23" t="n">
        <v>29237</v>
      </c>
      <c r="N29" s="23" t="n">
        <v>-238746</v>
      </c>
    </row>
    <row r="30" customFormat="false" ht="21.75" hidden="false" customHeight="true" outlineLevel="0" collapsed="false">
      <c r="A30" s="29"/>
      <c r="B30" s="30" t="s">
        <v>6</v>
      </c>
      <c r="C30" s="30"/>
      <c r="D30" s="29"/>
      <c r="E30" s="30"/>
      <c r="F30" s="30"/>
      <c r="G30" s="30"/>
      <c r="H30" s="30"/>
      <c r="I30" s="31" t="n">
        <f aca="false">SUM(I2:I29)</f>
        <v>12494</v>
      </c>
      <c r="J30" s="29"/>
      <c r="K30" s="32" t="n">
        <f aca="false">SUMPRODUCT($I$2:$I$29,K2:K29)/$I$30</f>
        <v>0.633479782295502</v>
      </c>
      <c r="L30" s="32" t="n">
        <f aca="false">SUMPRODUCT($I$2:$I$29,L2:L29)/$I$30</f>
        <v>0.825651624779894</v>
      </c>
      <c r="M30" s="33" t="n">
        <f aca="false">SUM(M2:M29)</f>
        <v>213868923</v>
      </c>
      <c r="N30" s="33" t="n">
        <f aca="false">SUM(N2:N29)</f>
        <v>115200993</v>
      </c>
    </row>
    <row r="31" customFormat="false" ht="19.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27.75" hidden="false" customHeight="true" outlineLevel="0" collapsed="false">
      <c r="A32" s="34" t="s">
        <v>815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customFormat="false" ht="31.5" hidden="false" customHeight="true" outlineLevel="0" collapsed="false">
      <c r="A33" s="15" t="s">
        <v>677</v>
      </c>
      <c r="B33" s="15" t="s">
        <v>8</v>
      </c>
      <c r="C33" s="15" t="s">
        <v>678</v>
      </c>
      <c r="D33" s="15" t="s">
        <v>679</v>
      </c>
      <c r="E33" s="15" t="s">
        <v>680</v>
      </c>
      <c r="F33" s="15" t="s">
        <v>681</v>
      </c>
      <c r="G33" s="15" t="s">
        <v>682</v>
      </c>
      <c r="H33" s="15" t="s">
        <v>683</v>
      </c>
      <c r="I33" s="15" t="s">
        <v>684</v>
      </c>
      <c r="J33" s="15" t="s">
        <v>685</v>
      </c>
      <c r="K33" s="15" t="s">
        <v>686</v>
      </c>
      <c r="L33" s="15" t="s">
        <v>687</v>
      </c>
      <c r="M33" s="15" t="s">
        <v>688</v>
      </c>
      <c r="N33" s="15" t="s">
        <v>689</v>
      </c>
    </row>
    <row r="34" customFormat="false" ht="21.75" hidden="false" customHeight="true" outlineLevel="0" collapsed="false">
      <c r="A34" s="20" t="n">
        <v>1</v>
      </c>
      <c r="B34" s="17" t="s">
        <v>816</v>
      </c>
      <c r="C34" s="17" t="s">
        <v>817</v>
      </c>
      <c r="D34" s="20" t="s">
        <v>691</v>
      </c>
      <c r="E34" s="17" t="s">
        <v>818</v>
      </c>
      <c r="F34" s="17" t="s">
        <v>819</v>
      </c>
      <c r="G34" s="17" t="s">
        <v>820</v>
      </c>
      <c r="H34" s="17" t="s">
        <v>821</v>
      </c>
      <c r="I34" s="24" t="n">
        <v>252</v>
      </c>
      <c r="J34" s="20" t="s">
        <v>105</v>
      </c>
      <c r="K34" s="25" t="n">
        <v>0.925</v>
      </c>
      <c r="L34" s="25" t="n">
        <v>0.94</v>
      </c>
      <c r="M34" s="23" t="n">
        <v>4740071</v>
      </c>
      <c r="N34" s="23" t="n">
        <v>2336427</v>
      </c>
    </row>
    <row r="35" customFormat="false" ht="33" hidden="false" customHeight="true" outlineLevel="0" collapsed="false">
      <c r="A35" s="20" t="n">
        <v>2</v>
      </c>
      <c r="B35" s="17" t="s">
        <v>822</v>
      </c>
      <c r="C35" s="17" t="s">
        <v>823</v>
      </c>
      <c r="D35" s="20" t="s">
        <v>697</v>
      </c>
      <c r="E35" s="17" t="s">
        <v>824</v>
      </c>
      <c r="F35" s="17" t="s">
        <v>825</v>
      </c>
      <c r="G35" s="17" t="s">
        <v>826</v>
      </c>
      <c r="H35" s="17" t="s">
        <v>827</v>
      </c>
      <c r="I35" s="24" t="n">
        <v>336</v>
      </c>
      <c r="J35" s="20" t="s">
        <v>105</v>
      </c>
      <c r="K35" s="25" t="n">
        <v>0.9345</v>
      </c>
      <c r="L35" s="25" t="n">
        <v>0.9345</v>
      </c>
      <c r="M35" s="23" t="n">
        <v>7995627</v>
      </c>
      <c r="N35" s="23" t="n">
        <v>5088218</v>
      </c>
    </row>
    <row r="36" customFormat="false" ht="33" hidden="false" customHeight="true" outlineLevel="0" collapsed="false">
      <c r="A36" s="20" t="n">
        <v>3</v>
      </c>
      <c r="B36" s="17" t="s">
        <v>828</v>
      </c>
      <c r="C36" s="17" t="s">
        <v>829</v>
      </c>
      <c r="D36" s="20" t="s">
        <v>697</v>
      </c>
      <c r="E36" s="17" t="s">
        <v>830</v>
      </c>
      <c r="F36" s="17" t="s">
        <v>831</v>
      </c>
      <c r="G36" s="17" t="s">
        <v>832</v>
      </c>
      <c r="H36" s="17" t="s">
        <v>833</v>
      </c>
      <c r="I36" s="24" t="n">
        <v>336</v>
      </c>
      <c r="J36" s="20" t="s">
        <v>105</v>
      </c>
      <c r="K36" s="25" t="n">
        <v>0.955</v>
      </c>
      <c r="L36" s="25" t="n">
        <v>0.92</v>
      </c>
      <c r="M36" s="23" t="n">
        <v>7200170</v>
      </c>
      <c r="N36" s="23" t="n">
        <v>4481513</v>
      </c>
    </row>
    <row r="37" customFormat="false" ht="33" hidden="false" customHeight="true" outlineLevel="0" collapsed="false">
      <c r="A37" s="20" t="n">
        <v>4</v>
      </c>
      <c r="B37" s="17" t="s">
        <v>834</v>
      </c>
      <c r="C37" s="17" t="s">
        <v>835</v>
      </c>
      <c r="D37" s="20" t="s">
        <v>697</v>
      </c>
      <c r="E37" s="17" t="s">
        <v>779</v>
      </c>
      <c r="F37" s="17" t="s">
        <v>836</v>
      </c>
      <c r="G37" s="17" t="s">
        <v>837</v>
      </c>
      <c r="H37" s="17" t="s">
        <v>838</v>
      </c>
      <c r="I37" s="24" t="n">
        <v>264</v>
      </c>
      <c r="J37" s="20" t="s">
        <v>105</v>
      </c>
      <c r="K37" s="25" t="n">
        <v>0.928</v>
      </c>
      <c r="L37" s="25" t="n">
        <v>0.9697</v>
      </c>
      <c r="M37" s="23" t="n">
        <v>6031030</v>
      </c>
      <c r="N37" s="23" t="n">
        <v>3279643</v>
      </c>
    </row>
    <row r="38" customFormat="false" ht="33" hidden="false" customHeight="true" outlineLevel="0" collapsed="false">
      <c r="A38" s="20" t="n">
        <v>5</v>
      </c>
      <c r="B38" s="17" t="s">
        <v>839</v>
      </c>
      <c r="C38" s="17" t="s">
        <v>840</v>
      </c>
      <c r="D38" s="20" t="s">
        <v>711</v>
      </c>
      <c r="E38" s="17" t="s">
        <v>841</v>
      </c>
      <c r="F38" s="17" t="s">
        <v>842</v>
      </c>
      <c r="G38" s="17" t="s">
        <v>843</v>
      </c>
      <c r="H38" s="17" t="s">
        <v>844</v>
      </c>
      <c r="I38" s="24" t="n">
        <v>300</v>
      </c>
      <c r="J38" s="20" t="s">
        <v>105</v>
      </c>
      <c r="K38" s="25" t="n">
        <v>0.94</v>
      </c>
      <c r="L38" s="25" t="n">
        <v>0.9433</v>
      </c>
      <c r="M38" s="23" t="n">
        <v>6414738</v>
      </c>
      <c r="N38" s="23" t="n">
        <v>3257380</v>
      </c>
    </row>
    <row r="39" customFormat="false" ht="21.75" hidden="false" customHeight="true" outlineLevel="0" collapsed="false">
      <c r="A39" s="20" t="n">
        <v>6</v>
      </c>
      <c r="B39" s="17" t="s">
        <v>845</v>
      </c>
      <c r="C39" s="17" t="s">
        <v>846</v>
      </c>
      <c r="D39" s="20" t="s">
        <v>711</v>
      </c>
      <c r="E39" s="17" t="s">
        <v>847</v>
      </c>
      <c r="F39" s="17" t="s">
        <v>848</v>
      </c>
      <c r="G39" s="17" t="s">
        <v>849</v>
      </c>
      <c r="H39" s="17" t="s">
        <v>850</v>
      </c>
      <c r="I39" s="24" t="n">
        <v>320</v>
      </c>
      <c r="J39" s="20" t="s">
        <v>105</v>
      </c>
      <c r="K39" s="25" t="n">
        <v>0.94</v>
      </c>
      <c r="L39" s="25" t="n">
        <v>0.9438</v>
      </c>
      <c r="M39" s="23" t="n">
        <v>6580083</v>
      </c>
      <c r="N39" s="23" t="n">
        <v>3369190</v>
      </c>
    </row>
    <row r="40" customFormat="false" ht="33" hidden="false" customHeight="true" outlineLevel="0" collapsed="false">
      <c r="A40" s="20" t="n">
        <v>7</v>
      </c>
      <c r="B40" s="17" t="s">
        <v>851</v>
      </c>
      <c r="C40" s="17" t="s">
        <v>852</v>
      </c>
      <c r="D40" s="20" t="s">
        <v>853</v>
      </c>
      <c r="E40" s="17" t="s">
        <v>854</v>
      </c>
      <c r="F40" s="17" t="s">
        <v>855</v>
      </c>
      <c r="G40" s="17" t="s">
        <v>856</v>
      </c>
      <c r="H40" s="17" t="s">
        <v>857</v>
      </c>
      <c r="I40" s="24" t="n">
        <v>344</v>
      </c>
      <c r="J40" s="20" t="s">
        <v>105</v>
      </c>
      <c r="K40" s="25" t="n">
        <v>0.9506</v>
      </c>
      <c r="L40" s="25" t="n">
        <v>0.9331</v>
      </c>
      <c r="M40" s="23" t="n">
        <v>9371085</v>
      </c>
      <c r="N40" s="23" t="n">
        <v>4739605</v>
      </c>
    </row>
    <row r="41" customFormat="false" ht="33" hidden="false" customHeight="true" outlineLevel="0" collapsed="false">
      <c r="A41" s="20" t="n">
        <v>8</v>
      </c>
      <c r="B41" s="17" t="s">
        <v>858</v>
      </c>
      <c r="C41" s="17" t="s">
        <v>859</v>
      </c>
      <c r="D41" s="20" t="s">
        <v>860</v>
      </c>
      <c r="E41" s="17" t="s">
        <v>861</v>
      </c>
      <c r="F41" s="17" t="s">
        <v>862</v>
      </c>
      <c r="G41" s="17" t="s">
        <v>863</v>
      </c>
      <c r="H41" s="17" t="s">
        <v>864</v>
      </c>
      <c r="I41" s="24" t="n">
        <v>91</v>
      </c>
      <c r="J41" s="20" t="s">
        <v>105</v>
      </c>
      <c r="K41" s="25" t="n">
        <v>0.95</v>
      </c>
      <c r="L41" s="25" t="n">
        <v>0.956</v>
      </c>
      <c r="M41" s="23" t="n">
        <v>3654361</v>
      </c>
      <c r="N41" s="23" t="n">
        <v>2224334</v>
      </c>
    </row>
    <row r="42" customFormat="false" ht="21.75" hidden="false" customHeight="true" outlineLevel="0" collapsed="false">
      <c r="A42" s="20" t="n">
        <v>9</v>
      </c>
      <c r="B42" s="17" t="s">
        <v>865</v>
      </c>
      <c r="C42" s="17" t="s">
        <v>866</v>
      </c>
      <c r="D42" s="20" t="s">
        <v>867</v>
      </c>
      <c r="E42" s="17" t="s">
        <v>868</v>
      </c>
      <c r="F42" s="17" t="s">
        <v>869</v>
      </c>
      <c r="G42" s="17" t="s">
        <v>870</v>
      </c>
      <c r="H42" s="17" t="s">
        <v>871</v>
      </c>
      <c r="I42" s="24" t="n">
        <v>300</v>
      </c>
      <c r="J42" s="20" t="s">
        <v>105</v>
      </c>
      <c r="K42" s="25" t="n">
        <v>0.94</v>
      </c>
      <c r="L42" s="25" t="n">
        <v>0.93</v>
      </c>
      <c r="M42" s="23" t="n">
        <v>5809639</v>
      </c>
      <c r="N42" s="23" t="n">
        <v>3526597</v>
      </c>
    </row>
    <row r="43" customFormat="false" ht="21.75" hidden="false" customHeight="true" outlineLevel="0" collapsed="false">
      <c r="A43" s="29"/>
      <c r="B43" s="30" t="s">
        <v>872</v>
      </c>
      <c r="C43" s="30"/>
      <c r="D43" s="29"/>
      <c r="E43" s="30"/>
      <c r="F43" s="30"/>
      <c r="G43" s="30"/>
      <c r="H43" s="30"/>
      <c r="I43" s="31" t="n">
        <f aca="false">SUM(I34:I42)</f>
        <v>2543</v>
      </c>
      <c r="J43" s="29"/>
      <c r="K43" s="32" t="n">
        <f aca="false">SUMPRODUCT($I$34:$I$42,K34:K42)/$I$43</f>
        <v>0.940314746362564</v>
      </c>
      <c r="L43" s="32" t="n">
        <f aca="false">SUMPRODUCT($I$34:$I$42,L34:L42)/$I$43</f>
        <v>0.939040975226111</v>
      </c>
      <c r="M43" s="33" t="n">
        <f aca="false">SUM(M34:M42)</f>
        <v>57796804</v>
      </c>
      <c r="N43" s="33" t="n">
        <f aca="false">SUM(N34:N42)</f>
        <v>32302907</v>
      </c>
    </row>
    <row r="44" customFormat="false" ht="19.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27.75" hidden="false" customHeight="true" outlineLevel="0" collapsed="false">
      <c r="A45" s="34" t="s">
        <v>873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customFormat="false" ht="31.5" hidden="false" customHeight="true" outlineLevel="0" collapsed="false">
      <c r="A46" s="15" t="s">
        <v>677</v>
      </c>
      <c r="B46" s="15" t="s">
        <v>8</v>
      </c>
      <c r="C46" s="15" t="s">
        <v>678</v>
      </c>
      <c r="D46" s="15" t="s">
        <v>679</v>
      </c>
      <c r="E46" s="15" t="s">
        <v>680</v>
      </c>
      <c r="F46" s="15" t="s">
        <v>681</v>
      </c>
      <c r="G46" s="15" t="s">
        <v>682</v>
      </c>
      <c r="H46" s="15" t="s">
        <v>683</v>
      </c>
      <c r="I46" s="15" t="s">
        <v>684</v>
      </c>
      <c r="J46" s="15" t="s">
        <v>685</v>
      </c>
      <c r="K46" s="15" t="s">
        <v>686</v>
      </c>
      <c r="L46" s="15" t="s">
        <v>687</v>
      </c>
      <c r="M46" s="15" t="s">
        <v>688</v>
      </c>
      <c r="N46" s="15" t="s">
        <v>689</v>
      </c>
    </row>
    <row r="47" customFormat="false" ht="33" hidden="false" customHeight="true" outlineLevel="0" collapsed="false">
      <c r="A47" s="20" t="n">
        <v>1</v>
      </c>
      <c r="B47" s="17" t="s">
        <v>874</v>
      </c>
      <c r="C47" s="17" t="s">
        <v>875</v>
      </c>
      <c r="D47" s="20" t="s">
        <v>691</v>
      </c>
      <c r="E47" s="17" t="s">
        <v>876</v>
      </c>
      <c r="F47" s="17" t="s">
        <v>877</v>
      </c>
      <c r="G47" s="17" t="s">
        <v>878</v>
      </c>
      <c r="H47" s="17" t="s">
        <v>879</v>
      </c>
      <c r="I47" s="24" t="n">
        <v>308</v>
      </c>
      <c r="J47" s="20" t="s">
        <v>105</v>
      </c>
      <c r="K47" s="25" t="n">
        <v>0.7305</v>
      </c>
      <c r="L47" s="25" t="n">
        <v>0.9188</v>
      </c>
      <c r="M47" s="23" t="n">
        <v>5445971</v>
      </c>
      <c r="N47" s="23" t="n">
        <v>2956646</v>
      </c>
    </row>
    <row r="48" customFormat="false" ht="33" hidden="false" customHeight="true" outlineLevel="0" collapsed="false">
      <c r="A48" s="20" t="n">
        <v>2</v>
      </c>
      <c r="B48" s="17" t="s">
        <v>880</v>
      </c>
      <c r="C48" s="17" t="s">
        <v>881</v>
      </c>
      <c r="D48" s="20" t="s">
        <v>711</v>
      </c>
      <c r="E48" s="17" t="s">
        <v>882</v>
      </c>
      <c r="F48" s="17" t="s">
        <v>883</v>
      </c>
      <c r="G48" s="17" t="s">
        <v>884</v>
      </c>
      <c r="H48" s="17" t="s">
        <v>885</v>
      </c>
      <c r="I48" s="24" t="n">
        <v>280</v>
      </c>
      <c r="J48" s="20" t="s">
        <v>105</v>
      </c>
      <c r="K48" s="25" t="n">
        <v>0.9071</v>
      </c>
      <c r="L48" s="25" t="n">
        <v>0.9536</v>
      </c>
      <c r="M48" s="23" t="n">
        <v>7218420</v>
      </c>
      <c r="N48" s="23" t="n">
        <v>3895108</v>
      </c>
    </row>
    <row r="49" customFormat="false" ht="33" hidden="false" customHeight="true" outlineLevel="0" collapsed="false">
      <c r="A49" s="20" t="n">
        <v>3</v>
      </c>
      <c r="B49" s="17" t="s">
        <v>886</v>
      </c>
      <c r="C49" s="17" t="s">
        <v>887</v>
      </c>
      <c r="D49" s="20" t="s">
        <v>711</v>
      </c>
      <c r="E49" s="17" t="s">
        <v>888</v>
      </c>
      <c r="F49" s="17" t="s">
        <v>889</v>
      </c>
      <c r="G49" s="17" t="s">
        <v>890</v>
      </c>
      <c r="H49" s="17" t="s">
        <v>891</v>
      </c>
      <c r="I49" s="24" t="n">
        <v>300</v>
      </c>
      <c r="J49" s="20" t="s">
        <v>105</v>
      </c>
      <c r="K49" s="25" t="n">
        <v>0.8867</v>
      </c>
      <c r="L49" s="25" t="n">
        <v>0.94</v>
      </c>
      <c r="M49" s="23" t="n">
        <v>5868156</v>
      </c>
      <c r="N49" s="23" t="n">
        <v>3266504</v>
      </c>
    </row>
    <row r="50" customFormat="false" ht="33" hidden="false" customHeight="true" outlineLevel="0" collapsed="false">
      <c r="A50" s="20" t="n">
        <v>4</v>
      </c>
      <c r="B50" s="17" t="s">
        <v>892</v>
      </c>
      <c r="C50" s="17" t="s">
        <v>893</v>
      </c>
      <c r="D50" s="20" t="s">
        <v>711</v>
      </c>
      <c r="E50" s="17" t="s">
        <v>894</v>
      </c>
      <c r="F50" s="17" t="s">
        <v>895</v>
      </c>
      <c r="G50" s="17" t="s">
        <v>896</v>
      </c>
      <c r="H50" s="17" t="s">
        <v>897</v>
      </c>
      <c r="I50" s="24" t="n">
        <v>268</v>
      </c>
      <c r="J50" s="20" t="s">
        <v>105</v>
      </c>
      <c r="K50" s="25" t="n">
        <v>0.6604</v>
      </c>
      <c r="L50" s="25" t="n">
        <v>0.9366</v>
      </c>
      <c r="M50" s="23" t="n">
        <v>5599113</v>
      </c>
      <c r="N50" s="23" t="n">
        <v>2689190</v>
      </c>
    </row>
    <row r="51" customFormat="false" ht="33" hidden="false" customHeight="true" outlineLevel="0" collapsed="false">
      <c r="A51" s="20" t="n">
        <v>5</v>
      </c>
      <c r="B51" s="17" t="s">
        <v>898</v>
      </c>
      <c r="C51" s="17" t="s">
        <v>899</v>
      </c>
      <c r="D51" s="20" t="s">
        <v>711</v>
      </c>
      <c r="E51" s="17" t="s">
        <v>900</v>
      </c>
      <c r="F51" s="17" t="s">
        <v>901</v>
      </c>
      <c r="G51" s="17" t="s">
        <v>902</v>
      </c>
      <c r="H51" s="17" t="s">
        <v>903</v>
      </c>
      <c r="I51" s="24" t="n">
        <v>324</v>
      </c>
      <c r="J51" s="20" t="s">
        <v>105</v>
      </c>
      <c r="K51" s="25" t="n">
        <v>0.8549</v>
      </c>
      <c r="L51" s="25" t="n">
        <v>0.9475</v>
      </c>
      <c r="M51" s="23" t="n">
        <v>6737088</v>
      </c>
      <c r="N51" s="23" t="n">
        <v>3789334</v>
      </c>
    </row>
    <row r="52" customFormat="false" ht="33" hidden="false" customHeight="true" outlineLevel="0" collapsed="false">
      <c r="A52" s="20" t="n">
        <v>6</v>
      </c>
      <c r="B52" s="17" t="s">
        <v>904</v>
      </c>
      <c r="C52" s="17" t="s">
        <v>905</v>
      </c>
      <c r="D52" s="20" t="s">
        <v>711</v>
      </c>
      <c r="E52" s="17" t="s">
        <v>906</v>
      </c>
      <c r="F52" s="17" t="s">
        <v>907</v>
      </c>
      <c r="G52" s="17" t="s">
        <v>908</v>
      </c>
      <c r="H52" s="17" t="s">
        <v>909</v>
      </c>
      <c r="I52" s="24" t="n">
        <v>380</v>
      </c>
      <c r="J52" s="20" t="s">
        <v>105</v>
      </c>
      <c r="K52" s="25" t="n">
        <v>0.75</v>
      </c>
      <c r="L52" s="25" t="n">
        <v>0.9316</v>
      </c>
      <c r="M52" s="23" t="n">
        <v>8722689</v>
      </c>
      <c r="N52" s="23" t="n">
        <v>5050024</v>
      </c>
    </row>
    <row r="53" customFormat="false" ht="33" hidden="false" customHeight="true" outlineLevel="0" collapsed="false">
      <c r="A53" s="20" t="n">
        <v>7</v>
      </c>
      <c r="B53" s="17" t="s">
        <v>910</v>
      </c>
      <c r="C53" s="17" t="s">
        <v>911</v>
      </c>
      <c r="D53" s="20" t="s">
        <v>711</v>
      </c>
      <c r="E53" s="17" t="s">
        <v>912</v>
      </c>
      <c r="F53" s="17" t="s">
        <v>913</v>
      </c>
      <c r="G53" s="17" t="s">
        <v>914</v>
      </c>
      <c r="H53" s="17" t="s">
        <v>915</v>
      </c>
      <c r="I53" s="24" t="n">
        <v>276</v>
      </c>
      <c r="J53" s="20" t="s">
        <v>105</v>
      </c>
      <c r="K53" s="25" t="n">
        <v>0.721</v>
      </c>
      <c r="L53" s="25" t="n">
        <v>0.9457</v>
      </c>
      <c r="M53" s="23" t="n">
        <v>6484210</v>
      </c>
      <c r="N53" s="23" t="n">
        <v>3766100</v>
      </c>
    </row>
    <row r="54" customFormat="false" ht="33" hidden="false" customHeight="true" outlineLevel="0" collapsed="false">
      <c r="A54" s="20" t="n">
        <v>8</v>
      </c>
      <c r="B54" s="17" t="s">
        <v>916</v>
      </c>
      <c r="C54" s="17" t="s">
        <v>917</v>
      </c>
      <c r="D54" s="20" t="s">
        <v>742</v>
      </c>
      <c r="E54" s="17" t="s">
        <v>918</v>
      </c>
      <c r="F54" s="17" t="s">
        <v>919</v>
      </c>
      <c r="G54" s="17" t="s">
        <v>920</v>
      </c>
      <c r="H54" s="17" t="s">
        <v>921</v>
      </c>
      <c r="I54" s="24" t="n">
        <v>276</v>
      </c>
      <c r="J54" s="20" t="s">
        <v>105</v>
      </c>
      <c r="K54" s="25" t="n">
        <v>0.8587</v>
      </c>
      <c r="L54" s="25" t="n">
        <v>0.9457</v>
      </c>
      <c r="M54" s="23" t="n">
        <v>6100779</v>
      </c>
      <c r="N54" s="23" t="n">
        <v>3192534</v>
      </c>
    </row>
    <row r="55" customFormat="false" ht="21.75" hidden="false" customHeight="true" outlineLevel="0" collapsed="false">
      <c r="A55" s="29"/>
      <c r="B55" s="30" t="s">
        <v>922</v>
      </c>
      <c r="C55" s="30"/>
      <c r="D55" s="29"/>
      <c r="E55" s="30"/>
      <c r="F55" s="30"/>
      <c r="G55" s="30"/>
      <c r="H55" s="30"/>
      <c r="I55" s="31" t="n">
        <f aca="false">SUM(I47:I54)</f>
        <v>2412</v>
      </c>
      <c r="J55" s="29"/>
      <c r="K55" s="32" t="n">
        <f aca="false">SUMPRODUCT($I$47:$I$54,K47:K54)/$I$55</f>
        <v>0.796004975124378</v>
      </c>
      <c r="L55" s="32" t="n">
        <f aca="false">SUMPRODUCT($I$47:$I$54,L47:L54)/$I$55</f>
        <v>0.939482421227197</v>
      </c>
      <c r="M55" s="33" t="n">
        <f aca="false">SUM(M47:M54)</f>
        <v>52176426</v>
      </c>
      <c r="N55" s="33" t="n">
        <f aca="false">SUM(N47:N54)</f>
        <v>28605440</v>
      </c>
    </row>
    <row r="56" customFormat="false" ht="19.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39.75" hidden="false" customHeight="true" outlineLevel="0" collapsed="false">
      <c r="A57" s="14" t="s">
        <v>923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</sheetData>
  <autoFilter ref="A1:N29"/>
  <mergeCells count="3">
    <mergeCell ref="A32:N32"/>
    <mergeCell ref="A45:N45"/>
    <mergeCell ref="A57:N57"/>
  </mergeCells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&amp;LForecast&amp;CPage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5" activeCellId="0" sqref="D5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true" outlineLevel="1" max="3" min="3" style="0" width="17"/>
    <col collapsed="false" customWidth="true" hidden="false" outlineLevel="0" max="4" min="4" style="0" width="12.71"/>
    <col collapsed="false" customWidth="true" hidden="false" outlineLevel="0" max="5" min="5" style="0" width="37.71"/>
    <col collapsed="false" customWidth="true" hidden="false" outlineLevel="0" max="6" min="6" style="0" width="12.71"/>
    <col collapsed="false" customWidth="true" hidden="false" outlineLevel="0" max="7" min="7" style="0" width="10"/>
    <col collapsed="false" customWidth="true" hidden="false" outlineLevel="0" max="8" min="8" style="0" width="38.71"/>
    <col collapsed="false" customWidth="true" hidden="false" outlineLevel="0" max="9" min="9" style="0" width="17.71"/>
    <col collapsed="false" customWidth="true" hidden="true" outlineLevel="1" max="10" min="10" style="0" width="35.71"/>
  </cols>
  <sheetData>
    <row r="1" customFormat="false" ht="27" hidden="false" customHeight="true" outlineLevel="0" collapsed="false">
      <c r="A1" s="13" t="s">
        <v>924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1.5" hidden="false" customHeight="true" outlineLevel="0" collapsed="false">
      <c r="A2" s="14" t="s">
        <v>925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21.75" hidden="false" customHeight="true" outlineLevel="0" collapsed="false">
      <c r="A3" s="4" t="str">
        <f aca="false">HYPERLINK("#'Summary'!A1","Back to Summary")</f>
        <v>Back to Summary</v>
      </c>
      <c r="B3" s="4"/>
      <c r="C3" s="4"/>
      <c r="D3" s="5"/>
      <c r="E3" s="5"/>
      <c r="F3" s="5"/>
      <c r="G3" s="5"/>
      <c r="H3" s="5"/>
      <c r="I3" s="5"/>
      <c r="J3" s="5"/>
    </row>
    <row r="4" customFormat="false" ht="51.75" hidden="false" customHeight="true" outlineLevel="0" collapsed="false">
      <c r="A4" s="15" t="s">
        <v>677</v>
      </c>
      <c r="B4" s="15" t="s">
        <v>8</v>
      </c>
      <c r="C4" s="15" t="s">
        <v>9</v>
      </c>
      <c r="D4" s="15" t="s">
        <v>628</v>
      </c>
      <c r="E4" s="15" t="s">
        <v>926</v>
      </c>
      <c r="F4" s="15" t="s">
        <v>11</v>
      </c>
      <c r="G4" s="15" t="s">
        <v>927</v>
      </c>
      <c r="H4" s="15" t="s">
        <v>928</v>
      </c>
      <c r="I4" s="15" t="s">
        <v>929</v>
      </c>
      <c r="J4" s="15" t="s">
        <v>632</v>
      </c>
    </row>
    <row r="5" customFormat="false" ht="45.75" hidden="false" customHeight="true" outlineLevel="0" collapsed="false">
      <c r="A5" s="20" t="n">
        <v>1</v>
      </c>
      <c r="B5" s="19" t="str">
        <f aca="false">HYPERLINK("#'Covenant Tests'!A"&amp;(MATCH("Dove Valley",'Covenant Tests'!$A$2:$A$107,0)+1),"Dove Valley")</f>
        <v>Dove Valley</v>
      </c>
      <c r="C5" s="17" t="s">
        <v>102</v>
      </c>
      <c r="D5" s="16" t="n">
        <v>46692</v>
      </c>
      <c r="E5" s="17" t="s">
        <v>930</v>
      </c>
      <c r="F5" s="16" t="n">
        <f aca="false">IF(COUNTIFS('2027 Calendar'!$B:$B,$B5,'2027 Calendar'!$D:$D,"Test")=0,"None",_xlfn.MINIFS('2027 Calendar'!$A:$A,'2027 Calendar'!$B:$B,$B5,'2027 Calendar'!$D:$D,"Test"))</f>
        <v>46692</v>
      </c>
      <c r="G5" s="35" t="n">
        <f aca="false">COUNTIFS('2027 Calendar'!$B:$B,$B5,'2027 Calendar'!$D:$D,"Test")</f>
        <v>1</v>
      </c>
      <c r="H5" s="17" t="s">
        <v>931</v>
      </c>
      <c r="I5" s="16" t="str">
        <f aca="false">IF(COUNTIFS('Covenant Tests'!$A:$A,$B5,'Covenant Tests'!$F:$F,"&gt;"&amp;DATE(2027,12,31))=0,"",_xlfn.MINIFS('Covenant Tests'!$F:$F,'Covenant Tests'!$A:$A,$B5,'Covenant Tests'!$F:$F,"&gt;"&amp;DATE(2027,12,31)))</f>
        <v/>
      </c>
      <c r="J5" s="17"/>
    </row>
    <row r="6" customFormat="false" ht="45.75" hidden="false" customHeight="true" outlineLevel="0" collapsed="false">
      <c r="A6" s="20" t="n">
        <v>2</v>
      </c>
      <c r="B6" s="19" t="str">
        <f aca="false">HYPERLINK("#'Covenant Tests'!A"&amp;(MATCH("Spectrum Loop",'Covenant Tests'!$A$2:$A$107,0)+1),"Spectrum Loop")</f>
        <v>Spectrum Loop</v>
      </c>
      <c r="C6" s="17" t="s">
        <v>102</v>
      </c>
      <c r="D6" s="16" t="n">
        <v>47014</v>
      </c>
      <c r="E6" s="17" t="s">
        <v>932</v>
      </c>
      <c r="F6" s="16" t="str">
        <f aca="false">IF(COUNTIFS('2027 Calendar'!$B:$B,$B6,'2027 Calendar'!$D:$D,"Test")=0,"None",_xlfn.MINIFS('2027 Calendar'!$A:$A,'2027 Calendar'!$B:$B,$B6,'2027 Calendar'!$D:$D,"Test"))</f>
        <v>None</v>
      </c>
      <c r="G6" s="35" t="n">
        <f aca="false">COUNTIFS('2027 Calendar'!$B:$B,$B6,'2027 Calendar'!$D:$D,"Test")</f>
        <v>0</v>
      </c>
      <c r="H6" s="17" t="s">
        <v>931</v>
      </c>
      <c r="I6" s="16" t="n">
        <f aca="false">IF(COUNTIFS('Covenant Tests'!$A:$A,$B6,'Covenant Tests'!$F:$F,"&gt;"&amp;DATE(2027,12,31))=0,"",_xlfn.MINIFS('Covenant Tests'!$F:$F,'Covenant Tests'!$A:$A,$B6,'Covenant Tests'!$F:$F,"&gt;"&amp;DATE(2027,12,31)))</f>
        <v>47014</v>
      </c>
      <c r="J6" s="17"/>
    </row>
    <row r="7" customFormat="false" ht="45.75" hidden="false" customHeight="true" outlineLevel="0" collapsed="false">
      <c r="A7" s="20" t="n">
        <v>3</v>
      </c>
      <c r="B7" s="19" t="str">
        <f aca="false">HYPERLINK("#'Covenant Tests'!A"&amp;(MATCH("Fort Collins Shields",'Covenant Tests'!$A$2:$A$107,0)+1),"Fort Collins Shields")</f>
        <v>Fort Collins Shields</v>
      </c>
      <c r="C7" s="17" t="s">
        <v>128</v>
      </c>
      <c r="D7" s="16" t="n">
        <v>46974</v>
      </c>
      <c r="E7" s="17" t="s">
        <v>933</v>
      </c>
      <c r="F7" s="16" t="n">
        <f aca="false">IF(COUNTIFS('2027 Calendar'!$B:$B,$B7,'2027 Calendar'!$D:$D,"Test")=0,"None",_xlfn.MINIFS('2027 Calendar'!$A:$A,'2027 Calendar'!$B:$B,$B7,'2027 Calendar'!$D:$D,"Test"))</f>
        <v>46608</v>
      </c>
      <c r="G7" s="35" t="n">
        <f aca="false">COUNTIFS('2027 Calendar'!$B:$B,$B7,'2027 Calendar'!$D:$D,"Test")</f>
        <v>1</v>
      </c>
      <c r="H7" s="17" t="s">
        <v>640</v>
      </c>
      <c r="I7" s="16" t="n">
        <f aca="false">IF(COUNTIFS('Covenant Tests'!$A:$A,$B7,'Covenant Tests'!$F:$F,"&gt;"&amp;DATE(2027,12,31))=0,"",_xlfn.MINIFS('Covenant Tests'!$F:$F,'Covenant Tests'!$A:$A,$B7,'Covenant Tests'!$F:$F,"&gt;"&amp;DATE(2027,12,31)))</f>
        <v>46974</v>
      </c>
      <c r="J7" s="17"/>
    </row>
    <row r="8" customFormat="false" ht="45.75" hidden="false" customHeight="true" outlineLevel="0" collapsed="false">
      <c r="A8" s="20" t="n">
        <v>4</v>
      </c>
      <c r="B8" s="19" t="str">
        <f aca="false">HYPERLINK("#'Covenant Tests'!A"&amp;(MATCH("Fort Collins Vine",'Covenant Tests'!$A$2:$A$107,0)+1),"Fort Collins Vine")</f>
        <v>Fort Collins Vine</v>
      </c>
      <c r="C8" s="17" t="s">
        <v>142</v>
      </c>
      <c r="D8" s="16" t="n">
        <v>47309</v>
      </c>
      <c r="E8" s="17" t="s">
        <v>934</v>
      </c>
      <c r="F8" s="16" t="str">
        <f aca="false">IF(COUNTIFS('2027 Calendar'!$B:$B,$B8,'2027 Calendar'!$D:$D,"Test")=0,"None",_xlfn.MINIFS('2027 Calendar'!$A:$A,'2027 Calendar'!$B:$B,$B8,'2027 Calendar'!$D:$D,"Test"))</f>
        <v>None</v>
      </c>
      <c r="G8" s="35" t="n">
        <f aca="false">COUNTIFS('2027 Calendar'!$B:$B,$B8,'2027 Calendar'!$D:$D,"Test")</f>
        <v>0</v>
      </c>
      <c r="H8" s="17" t="s">
        <v>935</v>
      </c>
      <c r="I8" s="16" t="n">
        <f aca="false">IF(COUNTIFS('Covenant Tests'!$A:$A,$B8,'Covenant Tests'!$F:$F,"&gt;"&amp;DATE(2027,12,31))=0,"",_xlfn.MINIFS('Covenant Tests'!$F:$F,'Covenant Tests'!$A:$A,$B8,'Covenant Tests'!$F:$F,"&gt;"&amp;DATE(2027,12,31)))</f>
        <v>46934</v>
      </c>
      <c r="J8" s="17" t="s">
        <v>642</v>
      </c>
    </row>
    <row r="9" customFormat="false" ht="31.5" hidden="false" customHeight="true" outlineLevel="0" collapsed="false">
      <c r="A9" s="20" t="n">
        <v>5</v>
      </c>
      <c r="B9" s="19" t="str">
        <f aca="false">HYPERLINK("#'Covenant Tests'!A"&amp;(MATCH("Ellenton",'Covenant Tests'!$A$2:$A$107,0)+1),"Ellenton")</f>
        <v>Ellenton</v>
      </c>
      <c r="C9" s="17" t="s">
        <v>152</v>
      </c>
      <c r="D9" s="16" t="n">
        <v>47266</v>
      </c>
      <c r="E9" s="17" t="s">
        <v>936</v>
      </c>
      <c r="F9" s="16" t="n">
        <f aca="false">IF(COUNTIFS('2027 Calendar'!$B:$B,$B9,'2027 Calendar'!$D:$D,"Test")=0,"None",_xlfn.MINIFS('2027 Calendar'!$A:$A,'2027 Calendar'!$B:$B,$B9,'2027 Calendar'!$D:$D,"Test"))</f>
        <v>46660</v>
      </c>
      <c r="G9" s="35" t="n">
        <f aca="false">COUNTIFS('2027 Calendar'!$B:$B,$B9,'2027 Calendar'!$D:$D,"Test")</f>
        <v>2</v>
      </c>
      <c r="H9" s="17" t="s">
        <v>937</v>
      </c>
      <c r="I9" s="16" t="n">
        <f aca="false">IF(COUNTIFS('Covenant Tests'!$A:$A,$B9,'Covenant Tests'!$F:$F,"&gt;"&amp;DATE(2027,12,31))=0,"",_xlfn.MINIFS('Covenant Tests'!$F:$F,'Covenant Tests'!$A:$A,$B9,'Covenant Tests'!$F:$F,"&gt;"&amp;DATE(2027,12,31)))</f>
        <v>47266</v>
      </c>
      <c r="J9" s="17"/>
    </row>
    <row r="10" customFormat="false" ht="31.5" hidden="false" customHeight="true" outlineLevel="0" collapsed="false">
      <c r="A10" s="20" t="n">
        <v>6</v>
      </c>
      <c r="B10" s="19" t="str">
        <f aca="false">HYPERLINK("#'Covenant Tests'!A"&amp;(MATCH("Panama City Beach",'Covenant Tests'!$A$2:$A$107,0)+1),"Panama City Beach")</f>
        <v>Panama City Beach</v>
      </c>
      <c r="C10" s="17" t="s">
        <v>167</v>
      </c>
      <c r="D10" s="16" t="n">
        <v>47766</v>
      </c>
      <c r="E10" s="17" t="s">
        <v>938</v>
      </c>
      <c r="F10" s="16" t="str">
        <f aca="false">IF(COUNTIFS('2027 Calendar'!$B:$B,$B10,'2027 Calendar'!$D:$D,"Test")=0,"None",_xlfn.MINIFS('2027 Calendar'!$A:$A,'2027 Calendar'!$B:$B,$B10,'2027 Calendar'!$D:$D,"Test"))</f>
        <v>None</v>
      </c>
      <c r="G10" s="35" t="n">
        <f aca="false">COUNTIFS('2027 Calendar'!$B:$B,$B10,'2027 Calendar'!$D:$D,"Test")</f>
        <v>0</v>
      </c>
      <c r="H10" s="17" t="s">
        <v>939</v>
      </c>
      <c r="I10" s="16" t="str">
        <f aca="false">IF(COUNTIFS('Covenant Tests'!$A:$A,$B10,'Covenant Tests'!$F:$F,"&gt;"&amp;DATE(2027,12,31))=0,"",_xlfn.MINIFS('Covenant Tests'!$F:$F,'Covenant Tests'!$A:$A,$B10,'Covenant Tests'!$F:$F,"&gt;"&amp;DATE(2027,12,31)))</f>
        <v/>
      </c>
      <c r="J10" s="17" t="s">
        <v>940</v>
      </c>
    </row>
    <row r="11" customFormat="false" ht="31.5" hidden="false" customHeight="true" outlineLevel="0" collapsed="false">
      <c r="A11" s="20" t="n">
        <v>7</v>
      </c>
      <c r="B11" s="19" t="str">
        <f aca="false">HYPERLINK("#'Covenant Tests'!A"&amp;(MATCH("Ponte Vedra",'Covenant Tests'!$A$2:$A$107,0)+1),"Ponte Vedra")</f>
        <v>Ponte Vedra</v>
      </c>
      <c r="C11" s="17" t="s">
        <v>173</v>
      </c>
      <c r="D11" s="16" t="n">
        <v>47162</v>
      </c>
      <c r="E11" s="17" t="s">
        <v>941</v>
      </c>
      <c r="F11" s="16" t="str">
        <f aca="false">IF(COUNTIFS('2027 Calendar'!$B:$B,$B11,'2027 Calendar'!$D:$D,"Test")=0,"None",_xlfn.MINIFS('2027 Calendar'!$A:$A,'2027 Calendar'!$B:$B,$B11,'2027 Calendar'!$D:$D,"Test"))</f>
        <v>None</v>
      </c>
      <c r="G11" s="35" t="n">
        <f aca="false">COUNTIFS('2027 Calendar'!$B:$B,$B11,'2027 Calendar'!$D:$D,"Test")</f>
        <v>0</v>
      </c>
      <c r="H11" s="17" t="s">
        <v>640</v>
      </c>
      <c r="I11" s="16" t="n">
        <f aca="false">IF(COUNTIFS('Covenant Tests'!$A:$A,$B11,'Covenant Tests'!$F:$F,"&gt;"&amp;DATE(2027,12,31))=0,"",_xlfn.MINIFS('Covenant Tests'!$F:$F,'Covenant Tests'!$A:$A,$B11,'Covenant Tests'!$F:$F,"&gt;"&amp;DATE(2027,12,31)))</f>
        <v>46996</v>
      </c>
      <c r="J11" s="17"/>
    </row>
    <row r="12" customFormat="false" ht="73.5" hidden="false" customHeight="true" outlineLevel="0" collapsed="false">
      <c r="A12" s="20" t="n">
        <v>8</v>
      </c>
      <c r="B12" s="19" t="str">
        <f aca="false">HYPERLINK("#'Covenant Tests'!A"&amp;(MATCH("Port St Lucie",'Covenant Tests'!$A$2:$A$107,0)+1),"Port St Lucie")</f>
        <v>Port St Lucie</v>
      </c>
      <c r="C12" s="17" t="s">
        <v>185</v>
      </c>
      <c r="D12" s="16" t="n">
        <v>46997</v>
      </c>
      <c r="E12" s="17" t="s">
        <v>942</v>
      </c>
      <c r="F12" s="16" t="n">
        <f aca="false">IF(COUNTIFS('2027 Calendar'!$B:$B,$B12,'2027 Calendar'!$D:$D,"Test")=0,"None",_xlfn.MINIFS('2027 Calendar'!$A:$A,'2027 Calendar'!$B:$B,$B12,'2027 Calendar'!$D:$D,"Test"))</f>
        <v>46477</v>
      </c>
      <c r="G12" s="35" t="n">
        <f aca="false">COUNTIFS('2027 Calendar'!$B:$B,$B12,'2027 Calendar'!$D:$D,"Test")</f>
        <v>1</v>
      </c>
      <c r="H12" s="17" t="s">
        <v>943</v>
      </c>
      <c r="I12" s="16" t="n">
        <f aca="false">IF(COUNTIFS('Covenant Tests'!$A:$A,$B12,'Covenant Tests'!$F:$F,"&gt;"&amp;DATE(2027,12,31))=0,"",_xlfn.MINIFS('Covenant Tests'!$F:$F,'Covenant Tests'!$A:$A,$B12,'Covenant Tests'!$F:$F,"&gt;"&amp;DATE(2027,12,31)))</f>
        <v>46997</v>
      </c>
      <c r="J12" s="17"/>
    </row>
    <row r="13" customFormat="false" ht="31.5" hidden="false" customHeight="true" outlineLevel="0" collapsed="false">
      <c r="A13" s="20" t="n">
        <v>9</v>
      </c>
      <c r="B13" s="19" t="str">
        <f aca="false">HYPERLINK("#'Covenant Tests'!A"&amp;(MATCH("Sarasota",'Covenant Tests'!$A$2:$A$107,0)+1),"Sarasota")</f>
        <v>Sarasota</v>
      </c>
      <c r="C13" s="17" t="s">
        <v>202</v>
      </c>
      <c r="D13" s="16" t="n">
        <v>46385</v>
      </c>
      <c r="E13" s="17" t="s">
        <v>944</v>
      </c>
      <c r="F13" s="16" t="str">
        <f aca="false">IF(COUNTIFS('2027 Calendar'!$B:$B,$B13,'2027 Calendar'!$D:$D,"Test")=0,"None",_xlfn.MINIFS('2027 Calendar'!$A:$A,'2027 Calendar'!$B:$B,$B13,'2027 Calendar'!$D:$D,"Test"))</f>
        <v>None</v>
      </c>
      <c r="G13" s="35" t="n">
        <f aca="false">COUNTIFS('2027 Calendar'!$B:$B,$B13,'2027 Calendar'!$D:$D,"Test")</f>
        <v>0</v>
      </c>
      <c r="H13" s="17" t="s">
        <v>640</v>
      </c>
      <c r="I13" s="16" t="str">
        <f aca="false">IF(COUNTIFS('Covenant Tests'!$A:$A,$B13,'Covenant Tests'!$F:$F,"&gt;"&amp;DATE(2027,12,31))=0,"",_xlfn.MINIFS('Covenant Tests'!$F:$F,'Covenant Tests'!$A:$A,$B13,'Covenant Tests'!$F:$F,"&gt;"&amp;DATE(2027,12,31)))</f>
        <v/>
      </c>
      <c r="J13" s="17"/>
    </row>
    <row r="14" customFormat="false" ht="87.75" hidden="false" customHeight="true" outlineLevel="0" collapsed="false">
      <c r="A14" s="20" t="n">
        <v>10</v>
      </c>
      <c r="B14" s="19" t="str">
        <f aca="false">HYPERLINK("#'Covenant Tests'!A"&amp;(MATCH("St. Augustine",'Covenant Tests'!$A$2:$A$107,0)+1),"St. Augustine")</f>
        <v>St. Augustine</v>
      </c>
      <c r="C14" s="17" t="s">
        <v>207</v>
      </c>
      <c r="D14" s="16" t="n">
        <v>46748</v>
      </c>
      <c r="E14" s="17" t="s">
        <v>945</v>
      </c>
      <c r="F14" s="16" t="n">
        <f aca="false">IF(COUNTIFS('2027 Calendar'!$B:$B,$B14,'2027 Calendar'!$D:$D,"Test")=0,"None",_xlfn.MINIFS('2027 Calendar'!$A:$A,'2027 Calendar'!$B:$B,$B14,'2027 Calendar'!$D:$D,"Test"))</f>
        <v>46748</v>
      </c>
      <c r="G14" s="35" t="n">
        <f aca="false">COUNTIFS('2027 Calendar'!$B:$B,$B14,'2027 Calendar'!$D:$D,"Test")</f>
        <v>1</v>
      </c>
      <c r="H14" s="17" t="s">
        <v>946</v>
      </c>
      <c r="I14" s="16" t="str">
        <f aca="false">IF(COUNTIFS('Covenant Tests'!$A:$A,$B14,'Covenant Tests'!$F:$F,"&gt;"&amp;DATE(2027,12,31))=0,"",_xlfn.MINIFS('Covenant Tests'!$F:$F,'Covenant Tests'!$A:$A,$B14,'Covenant Tests'!$F:$F,"&gt;"&amp;DATE(2027,12,31)))</f>
        <v/>
      </c>
      <c r="J14" s="17" t="s">
        <v>652</v>
      </c>
    </row>
    <row r="15" customFormat="false" ht="45.75" hidden="false" customHeight="true" outlineLevel="0" collapsed="false">
      <c r="A15" s="20" t="n">
        <v>11</v>
      </c>
      <c r="B15" s="19" t="str">
        <f aca="false">HYPERLINK("#'Covenant Tests'!A"&amp;(MATCH("Venice",'Covenant Tests'!$A$2:$A$107,0)+1),"Venice")</f>
        <v>Venice</v>
      </c>
      <c r="C15" s="17" t="s">
        <v>230</v>
      </c>
      <c r="D15" s="16" t="n">
        <v>46519</v>
      </c>
      <c r="E15" s="17" t="s">
        <v>947</v>
      </c>
      <c r="F15" s="16" t="n">
        <f aca="false">IF(COUNTIFS('2027 Calendar'!$B:$B,$B15,'2027 Calendar'!$D:$D,"Test")=0,"None",_xlfn.MINIFS('2027 Calendar'!$A:$A,'2027 Calendar'!$B:$B,$B15,'2027 Calendar'!$D:$D,"Test"))</f>
        <v>46507</v>
      </c>
      <c r="G15" s="35" t="n">
        <f aca="false">COUNTIFS('2027 Calendar'!$B:$B,$B15,'2027 Calendar'!$D:$D,"Test")</f>
        <v>1</v>
      </c>
      <c r="H15" s="17" t="s">
        <v>948</v>
      </c>
      <c r="I15" s="16" t="str">
        <f aca="false">IF(COUNTIFS('Covenant Tests'!$A:$A,$B15,'Covenant Tests'!$F:$F,"&gt;"&amp;DATE(2027,12,31))=0,"",_xlfn.MINIFS('Covenant Tests'!$F:$F,'Covenant Tests'!$A:$A,$B15,'Covenant Tests'!$F:$F,"&gt;"&amp;DATE(2027,12,31)))</f>
        <v/>
      </c>
      <c r="J15" s="17"/>
    </row>
    <row r="16" customFormat="false" ht="45.75" hidden="false" customHeight="true" outlineLevel="0" collapsed="false">
      <c r="A16" s="20" t="n">
        <v>12</v>
      </c>
      <c r="B16" s="19" t="str">
        <f aca="false">HYPERLINK("#'Covenant Tests'!A"&amp;(MATCH("Pooler",'Covenant Tests'!$A$2:$A$107,0)+1),"Pooler")</f>
        <v>Pooler</v>
      </c>
      <c r="C16" s="17" t="s">
        <v>250</v>
      </c>
      <c r="D16" s="16" t="n">
        <v>46714</v>
      </c>
      <c r="E16" s="17" t="s">
        <v>949</v>
      </c>
      <c r="F16" s="16" t="n">
        <f aca="false">IF(COUNTIFS('2027 Calendar'!$B:$B,$B16,'2027 Calendar'!$D:$D,"Test")=0,"None",_xlfn.MINIFS('2027 Calendar'!$A:$A,'2027 Calendar'!$B:$B,$B16,'2027 Calendar'!$D:$D,"Test"))</f>
        <v>46530</v>
      </c>
      <c r="G16" s="35" t="n">
        <f aca="false">COUNTIFS('2027 Calendar'!$B:$B,$B16,'2027 Calendar'!$D:$D,"Test")</f>
        <v>2</v>
      </c>
      <c r="H16" s="17" t="s">
        <v>950</v>
      </c>
      <c r="I16" s="16" t="str">
        <f aca="false">IF(COUNTIFS('Covenant Tests'!$A:$A,$B16,'Covenant Tests'!$F:$F,"&gt;"&amp;DATE(2027,12,31))=0,"",_xlfn.MINIFS('Covenant Tests'!$F:$F,'Covenant Tests'!$A:$A,$B16,'Covenant Tests'!$F:$F,"&gt;"&amp;DATE(2027,12,31)))</f>
        <v/>
      </c>
      <c r="J16" s="17"/>
    </row>
    <row r="17" customFormat="false" ht="45.75" hidden="false" customHeight="true" outlineLevel="0" collapsed="false">
      <c r="A17" s="20" t="n">
        <v>13</v>
      </c>
      <c r="B17" s="19" t="str">
        <f aca="false">HYPERLINK("#'Covenant Tests'!A"&amp;(MATCH("Stockbridge",'Covenant Tests'!$A$2:$A$107,0)+1),"Stockbridge")</f>
        <v>Stockbridge</v>
      </c>
      <c r="C17" s="17" t="s">
        <v>230</v>
      </c>
      <c r="D17" s="16" t="n">
        <v>46748</v>
      </c>
      <c r="E17" s="17" t="s">
        <v>951</v>
      </c>
      <c r="F17" s="16" t="n">
        <f aca="false">IF(COUNTIFS('2027 Calendar'!$B:$B,$B17,'2027 Calendar'!$D:$D,"Test")=0,"None",_xlfn.MINIFS('2027 Calendar'!$A:$A,'2027 Calendar'!$B:$B,$B17,'2027 Calendar'!$D:$D,"Test"))</f>
        <v>46565</v>
      </c>
      <c r="G17" s="35" t="n">
        <f aca="false">COUNTIFS('2027 Calendar'!$B:$B,$B17,'2027 Calendar'!$D:$D,"Test")</f>
        <v>4</v>
      </c>
      <c r="H17" s="17" t="s">
        <v>952</v>
      </c>
      <c r="I17" s="16" t="str">
        <f aca="false">IF(COUNTIFS('Covenant Tests'!$A:$A,$B17,'Covenant Tests'!$F:$F,"&gt;"&amp;DATE(2027,12,31))=0,"",_xlfn.MINIFS('Covenant Tests'!$F:$F,'Covenant Tests'!$A:$A,$B17,'Covenant Tests'!$F:$F,"&gt;"&amp;DATE(2027,12,31)))</f>
        <v/>
      </c>
      <c r="J17" s="17"/>
    </row>
    <row r="18" customFormat="false" ht="31.5" hidden="false" customHeight="true" outlineLevel="0" collapsed="false">
      <c r="A18" s="20" t="n">
        <v>14</v>
      </c>
      <c r="B18" s="19" t="str">
        <f aca="false">HYPERLINK("#'Covenant Tests'!A"&amp;(MATCH("Nampa Sundance",'Covenant Tests'!$A$2:$A$107,0)+1),"Nampa Sundance")</f>
        <v>Nampa Sundance</v>
      </c>
      <c r="C18" s="17" t="s">
        <v>272</v>
      </c>
      <c r="D18" s="16" t="n">
        <v>46846</v>
      </c>
      <c r="E18" s="17" t="s">
        <v>953</v>
      </c>
      <c r="F18" s="16" t="n">
        <f aca="false">IF(COUNTIFS('2027 Calendar'!$B:$B,$B18,'2027 Calendar'!$D:$D,"Test")=0,"None",_xlfn.MINIFS('2027 Calendar'!$A:$A,'2027 Calendar'!$B:$B,$B18,'2027 Calendar'!$D:$D,"Test"))</f>
        <v>46507</v>
      </c>
      <c r="G18" s="35" t="n">
        <f aca="false">COUNTIFS('2027 Calendar'!$B:$B,$B18,'2027 Calendar'!$D:$D,"Test")</f>
        <v>1</v>
      </c>
      <c r="H18" s="17" t="s">
        <v>954</v>
      </c>
      <c r="I18" s="16" t="n">
        <f aca="false">IF(COUNTIFS('Covenant Tests'!$A:$A,$B18,'Covenant Tests'!$F:$F,"&gt;"&amp;DATE(2027,12,31))=0,"",_xlfn.MINIFS('Covenant Tests'!$F:$F,'Covenant Tests'!$A:$A,$B18,'Covenant Tests'!$F:$F,"&gt;"&amp;DATE(2027,12,31)))</f>
        <v>46783</v>
      </c>
      <c r="J18" s="17" t="s">
        <v>955</v>
      </c>
    </row>
    <row r="19" customFormat="false" ht="31.5" hidden="false" customHeight="true" outlineLevel="0" collapsed="false">
      <c r="A19" s="20" t="n">
        <v>15</v>
      </c>
      <c r="B19" s="19" t="str">
        <f aca="false">HYPERLINK("#'Covenant Tests'!A"&amp;(MATCH("2022 Fund (Barings)",'Covenant Tests'!$A$2:$A$107,0)+1),"2022 Fund (Barings)")</f>
        <v>2022 Fund (Barings)</v>
      </c>
      <c r="C19" s="17" t="s">
        <v>287</v>
      </c>
      <c r="D19" s="16" t="n">
        <v>46914</v>
      </c>
      <c r="E19" s="17" t="s">
        <v>956</v>
      </c>
      <c r="F19" s="16" t="str">
        <f aca="false">IF(COUNTIFS('2027 Calendar'!$B:$B,$B19,'2027 Calendar'!$D:$D,"Test")=0,"None",_xlfn.MINIFS('2027 Calendar'!$A:$A,'2027 Calendar'!$B:$B,$B19,'2027 Calendar'!$D:$D,"Test"))</f>
        <v>None</v>
      </c>
      <c r="G19" s="35" t="n">
        <f aca="false">COUNTIFS('2027 Calendar'!$B:$B,$B19,'2027 Calendar'!$D:$D,"Test")</f>
        <v>0</v>
      </c>
      <c r="H19" s="17" t="s">
        <v>957</v>
      </c>
      <c r="I19" s="16" t="n">
        <f aca="false">IF(COUNTIFS('Covenant Tests'!$A:$A,$B19,'Covenant Tests'!$F:$F,"&gt;"&amp;DATE(2027,12,31))=0,"",_xlfn.MINIFS('Covenant Tests'!$F:$F,'Covenant Tests'!$A:$A,$B19,'Covenant Tests'!$F:$F,"&gt;"&amp;DATE(2027,12,31)))</f>
        <v>46914</v>
      </c>
      <c r="J19" s="17" t="s">
        <v>661</v>
      </c>
    </row>
    <row r="20" customFormat="false" ht="45.75" hidden="false" customHeight="true" outlineLevel="0" collapsed="false">
      <c r="A20" s="20" t="n">
        <v>16</v>
      </c>
      <c r="B20" s="19" t="str">
        <f aca="false">HYPERLINK("#'Covenant Tests'!A"&amp;(MATCH("2023 Fund (Barings)",'Covenant Tests'!$A$2:$A$107,0)+1),"2023 Fund (Barings)")</f>
        <v>2023 Fund (Barings)</v>
      </c>
      <c r="C20" s="17" t="s">
        <v>312</v>
      </c>
      <c r="D20" s="16" t="n">
        <v>47401</v>
      </c>
      <c r="E20" s="17" t="s">
        <v>958</v>
      </c>
      <c r="F20" s="16" t="str">
        <f aca="false">IF(COUNTIFS('2027 Calendar'!$B:$B,$B20,'2027 Calendar'!$D:$D,"Test")=0,"None",_xlfn.MINIFS('2027 Calendar'!$A:$A,'2027 Calendar'!$B:$B,$B20,'2027 Calendar'!$D:$D,"Test"))</f>
        <v>None</v>
      </c>
      <c r="G20" s="35" t="n">
        <f aca="false">COUNTIFS('2027 Calendar'!$B:$B,$B20,'2027 Calendar'!$D:$D,"Test")</f>
        <v>0</v>
      </c>
      <c r="H20" s="17" t="s">
        <v>640</v>
      </c>
      <c r="I20" s="16" t="n">
        <f aca="false">IF(COUNTIFS('Covenant Tests'!$A:$A,$B20,'Covenant Tests'!$F:$F,"&gt;"&amp;DATE(2027,12,31))=0,"",_xlfn.MINIFS('Covenant Tests'!$F:$F,'Covenant Tests'!$A:$A,$B20,'Covenant Tests'!$F:$F,"&gt;"&amp;DATE(2027,12,31)))</f>
        <v>46853</v>
      </c>
      <c r="J20" s="17" t="s">
        <v>661</v>
      </c>
    </row>
    <row r="21" customFormat="false" ht="31.5" hidden="false" customHeight="true" outlineLevel="0" collapsed="false">
      <c r="A21" s="20" t="n">
        <v>17</v>
      </c>
      <c r="B21" s="19" t="str">
        <f aca="false">HYPERLINK("#'Covenant Tests'!A"&amp;(MATCH("Fayetteville Van Asche",'Covenant Tests'!$A$2:$A$107,0)+1),"Fayetteville Van Asche")</f>
        <v>Fayetteville Van Asche</v>
      </c>
      <c r="C21" s="17" t="s">
        <v>323</v>
      </c>
      <c r="D21" s="16" t="n">
        <v>47280</v>
      </c>
      <c r="E21" s="17" t="s">
        <v>959</v>
      </c>
      <c r="F21" s="16" t="str">
        <f aca="false">IF(COUNTIFS('2027 Calendar'!$B:$B,$B21,'2027 Calendar'!$D:$D,"Test")=0,"None",_xlfn.MINIFS('2027 Calendar'!$A:$A,'2027 Calendar'!$B:$B,$B21,'2027 Calendar'!$D:$D,"Test"))</f>
        <v>None</v>
      </c>
      <c r="G21" s="35" t="n">
        <f aca="false">COUNTIFS('2027 Calendar'!$B:$B,$B21,'2027 Calendar'!$D:$D,"Test")</f>
        <v>0</v>
      </c>
      <c r="H21" s="17" t="s">
        <v>640</v>
      </c>
      <c r="I21" s="16" t="n">
        <f aca="false">IF(COUNTIFS('Covenant Tests'!$A:$A,$B21,'Covenant Tests'!$F:$F,"&gt;"&amp;DATE(2027,12,31))=0,"",_xlfn.MINIFS('Covenant Tests'!$F:$F,'Covenant Tests'!$A:$A,$B21,'Covenant Tests'!$F:$F,"&gt;"&amp;DATE(2027,12,31)))</f>
        <v>47280</v>
      </c>
      <c r="J21" s="17"/>
    </row>
    <row r="22" customFormat="false" ht="45.75" hidden="false" customHeight="true" outlineLevel="0" collapsed="false">
      <c r="A22" s="20" t="n">
        <v>18</v>
      </c>
      <c r="B22" s="19" t="str">
        <f aca="false">HYPERLINK("#'Covenant Tests'!A"&amp;(MATCH("Gilbert Val Vista",'Covenant Tests'!$A$2:$A$107,0)+1),"Gilbert Val Vista")</f>
        <v>Gilbert Val Vista</v>
      </c>
      <c r="C22" s="17" t="s">
        <v>102</v>
      </c>
      <c r="D22" s="16" t="n">
        <v>47233</v>
      </c>
      <c r="E22" s="17" t="s">
        <v>960</v>
      </c>
      <c r="F22" s="16" t="str">
        <f aca="false">IF(COUNTIFS('2027 Calendar'!$B:$B,$B22,'2027 Calendar'!$D:$D,"Test")=0,"None",_xlfn.MINIFS('2027 Calendar'!$A:$A,'2027 Calendar'!$B:$B,$B22,'2027 Calendar'!$D:$D,"Test"))</f>
        <v>None</v>
      </c>
      <c r="G22" s="35" t="n">
        <f aca="false">COUNTIFS('2027 Calendar'!$B:$B,$B22,'2027 Calendar'!$D:$D,"Test")</f>
        <v>0</v>
      </c>
      <c r="H22" s="17" t="s">
        <v>931</v>
      </c>
      <c r="I22" s="16" t="n">
        <f aca="false">IF(COUNTIFS('Covenant Tests'!$A:$A,$B22,'Covenant Tests'!$F:$F,"&gt;"&amp;DATE(2027,12,31))=0,"",_xlfn.MINIFS('Covenant Tests'!$F:$F,'Covenant Tests'!$A:$A,$B22,'Covenant Tests'!$F:$F,"&gt;"&amp;DATE(2027,12,31)))</f>
        <v>47233</v>
      </c>
      <c r="J22" s="17"/>
    </row>
    <row r="23" customFormat="false" ht="31.5" hidden="false" customHeight="true" outlineLevel="0" collapsed="false">
      <c r="A23" s="20" t="n">
        <v>19</v>
      </c>
      <c r="B23" s="19" t="str">
        <f aca="false">HYPERLINK("#'Covenant Tests'!A"&amp;(MATCH("Venetucci",'Covenant Tests'!$A$2:$A$107,0)+1),"Venetucci")</f>
        <v>Venetucci</v>
      </c>
      <c r="C23" s="17" t="s">
        <v>337</v>
      </c>
      <c r="D23" s="16" t="n">
        <v>47245</v>
      </c>
      <c r="E23" s="17" t="s">
        <v>961</v>
      </c>
      <c r="F23" s="16" t="str">
        <f aca="false">IF(COUNTIFS('2027 Calendar'!$B:$B,$B23,'2027 Calendar'!$D:$D,"Test")=0,"None",_xlfn.MINIFS('2027 Calendar'!$A:$A,'2027 Calendar'!$B:$B,$B23,'2027 Calendar'!$D:$D,"Test"))</f>
        <v>None</v>
      </c>
      <c r="G23" s="35" t="n">
        <f aca="false">COUNTIFS('2027 Calendar'!$B:$B,$B23,'2027 Calendar'!$D:$D,"Test")</f>
        <v>0</v>
      </c>
      <c r="H23" s="17" t="s">
        <v>640</v>
      </c>
      <c r="I23" s="16" t="n">
        <f aca="false">IF(COUNTIFS('Covenant Tests'!$A:$A,$B23,'Covenant Tests'!$F:$F,"&gt;"&amp;DATE(2027,12,31))=0,"",_xlfn.MINIFS('Covenant Tests'!$F:$F,'Covenant Tests'!$A:$A,$B23,'Covenant Tests'!$F:$F,"&gt;"&amp;DATE(2027,12,31)))</f>
        <v>47245</v>
      </c>
      <c r="J23" s="17" t="s">
        <v>665</v>
      </c>
    </row>
    <row r="24" customFormat="false" ht="21" hidden="false" customHeight="true" outlineLevel="0" collapsed="false">
      <c r="A24" s="20" t="n">
        <v>20</v>
      </c>
      <c r="B24" s="19" t="str">
        <f aca="false">HYPERLINK("#'Covenant Tests'!A"&amp;(MATCH("Longmont Hover",'Covenant Tests'!$A$2:$A$107,0)+1),"Longmont Hover")</f>
        <v>Longmont Hover</v>
      </c>
      <c r="C24" s="17" t="s">
        <v>202</v>
      </c>
      <c r="D24" s="16" t="n">
        <v>46923</v>
      </c>
      <c r="E24" s="17" t="s">
        <v>962</v>
      </c>
      <c r="F24" s="16" t="n">
        <f aca="false">IF(COUNTIFS('2027 Calendar'!$B:$B,$B24,'2027 Calendar'!$D:$D,"Test")=0,"None",_xlfn.MINIFS('2027 Calendar'!$A:$A,'2027 Calendar'!$B:$B,$B24,'2027 Calendar'!$D:$D,"Test"))</f>
        <v>46752</v>
      </c>
      <c r="G24" s="35" t="n">
        <f aca="false">COUNTIFS('2027 Calendar'!$B:$B,$B24,'2027 Calendar'!$D:$D,"Test")</f>
        <v>1</v>
      </c>
      <c r="H24" s="17" t="s">
        <v>640</v>
      </c>
      <c r="I24" s="16" t="n">
        <f aca="false">IF(COUNTIFS('Covenant Tests'!$A:$A,$B24,'Covenant Tests'!$F:$F,"&gt;"&amp;DATE(2027,12,31))=0,"",_xlfn.MINIFS('Covenant Tests'!$F:$F,'Covenant Tests'!$A:$A,$B24,'Covenant Tests'!$F:$F,"&gt;"&amp;DATE(2027,12,31)))</f>
        <v>46904</v>
      </c>
      <c r="J24" s="17"/>
    </row>
    <row r="25" customFormat="false" ht="21" hidden="false" customHeight="true" outlineLevel="0" collapsed="false">
      <c r="A25" s="20" t="n">
        <v>21</v>
      </c>
      <c r="B25" s="19" t="str">
        <f aca="false">HYPERLINK("#'Covenant Tests'!A"&amp;(MATCH("Monument Higby",'Covenant Tests'!$A$2:$A$107,0)+1),"Monument Higby")</f>
        <v>Monument Higby</v>
      </c>
      <c r="C25" s="17" t="s">
        <v>230</v>
      </c>
      <c r="D25" s="16" t="n">
        <v>47250</v>
      </c>
      <c r="E25" s="17" t="s">
        <v>963</v>
      </c>
      <c r="F25" s="16" t="str">
        <f aca="false">IF(COUNTIFS('2027 Calendar'!$B:$B,$B25,'2027 Calendar'!$D:$D,"Test")=0,"None",_xlfn.MINIFS('2027 Calendar'!$A:$A,'2027 Calendar'!$B:$B,$B25,'2027 Calendar'!$D:$D,"Test"))</f>
        <v>None</v>
      </c>
      <c r="G25" s="35" t="n">
        <f aca="false">COUNTIFS('2027 Calendar'!$B:$B,$B25,'2027 Calendar'!$D:$D,"Test")</f>
        <v>0</v>
      </c>
      <c r="H25" s="17" t="s">
        <v>640</v>
      </c>
      <c r="I25" s="16" t="n">
        <f aca="false">IF(COUNTIFS('Covenant Tests'!$A:$A,$B25,'Covenant Tests'!$F:$F,"&gt;"&amp;DATE(2027,12,31))=0,"",_xlfn.MINIFS('Covenant Tests'!$F:$F,'Covenant Tests'!$A:$A,$B25,'Covenant Tests'!$F:$F,"&gt;"&amp;DATE(2027,12,31)))</f>
        <v>47238</v>
      </c>
      <c r="J25" s="17"/>
    </row>
    <row r="26" customFormat="false" ht="31.5" hidden="false" customHeight="true" outlineLevel="0" collapsed="false">
      <c r="A26" s="20" t="n">
        <v>22</v>
      </c>
      <c r="B26" s="19" t="str">
        <f aca="false">HYPERLINK("#'Covenant Tests'!A"&amp;(MATCH("Wheat Ridge",'Covenant Tests'!$A$2:$A$107,0)+1),"Wheat Ridge")</f>
        <v>Wheat Ridge</v>
      </c>
      <c r="C26" s="17" t="s">
        <v>357</v>
      </c>
      <c r="D26" s="16" t="n">
        <v>46978</v>
      </c>
      <c r="E26" s="17" t="s">
        <v>964</v>
      </c>
      <c r="F26" s="16" t="str">
        <f aca="false">IF(COUNTIFS('2027 Calendar'!$B:$B,$B26,'2027 Calendar'!$D:$D,"Test")=0,"None",_xlfn.MINIFS('2027 Calendar'!$A:$A,'2027 Calendar'!$B:$B,$B26,'2027 Calendar'!$D:$D,"Test"))</f>
        <v>None</v>
      </c>
      <c r="G26" s="35" t="n">
        <f aca="false">COUNTIFS('2027 Calendar'!$B:$B,$B26,'2027 Calendar'!$D:$D,"Test")</f>
        <v>0</v>
      </c>
      <c r="H26" s="17" t="s">
        <v>640</v>
      </c>
      <c r="I26" s="16" t="n">
        <f aca="false">IF(COUNTIFS('Covenant Tests'!$A:$A,$B26,'Covenant Tests'!$F:$F,"&gt;"&amp;DATE(2027,12,31))=0,"",_xlfn.MINIFS('Covenant Tests'!$F:$F,'Covenant Tests'!$A:$A,$B26,'Covenant Tests'!$F:$F,"&gt;"&amp;DATE(2027,12,31)))</f>
        <v>46978</v>
      </c>
      <c r="J26" s="17"/>
    </row>
    <row r="27" customFormat="false" ht="31.5" hidden="false" customHeight="true" outlineLevel="0" collapsed="false">
      <c r="A27" s="20" t="n">
        <v>23</v>
      </c>
      <c r="B27" s="19" t="str">
        <f aca="false">HYPERLINK("#'Covenant Tests'!A"&amp;(MATCH("Buford",'Covenant Tests'!$A$2:$A$107,0)+1),"Buford")</f>
        <v>Buford</v>
      </c>
      <c r="C27" s="17" t="s">
        <v>368</v>
      </c>
      <c r="D27" s="16" t="n">
        <v>47202</v>
      </c>
      <c r="E27" s="17" t="s">
        <v>964</v>
      </c>
      <c r="F27" s="16" t="str">
        <f aca="false">IF(COUNTIFS('2027 Calendar'!$B:$B,$B27,'2027 Calendar'!$D:$D,"Test")=0,"None",_xlfn.MINIFS('2027 Calendar'!$A:$A,'2027 Calendar'!$B:$B,$B27,'2027 Calendar'!$D:$D,"Test"))</f>
        <v>None</v>
      </c>
      <c r="G27" s="35" t="n">
        <f aca="false">COUNTIFS('2027 Calendar'!$B:$B,$B27,'2027 Calendar'!$D:$D,"Test")</f>
        <v>0</v>
      </c>
      <c r="H27" s="17" t="s">
        <v>640</v>
      </c>
      <c r="I27" s="16" t="n">
        <f aca="false">IF(COUNTIFS('Covenant Tests'!$A:$A,$B27,'Covenant Tests'!$F:$F,"&gt;"&amp;DATE(2027,12,31))=0,"",_xlfn.MINIFS('Covenant Tests'!$F:$F,'Covenant Tests'!$A:$A,$B27,'Covenant Tests'!$F:$F,"&gt;"&amp;DATE(2027,12,31)))</f>
        <v>47202</v>
      </c>
      <c r="J27" s="17"/>
    </row>
    <row r="28" customFormat="false" ht="31.5" hidden="false" customHeight="true" outlineLevel="0" collapsed="false">
      <c r="A28" s="20" t="n">
        <v>24</v>
      </c>
      <c r="B28" s="19" t="str">
        <f aca="false">HYPERLINK("#'Covenant Tests'!A"&amp;(MATCH("Dacula",'Covenant Tests'!$A$2:$A$107,0)+1),"Dacula")</f>
        <v>Dacula</v>
      </c>
      <c r="C28" s="17" t="s">
        <v>337</v>
      </c>
      <c r="D28" s="16" t="n">
        <v>47349</v>
      </c>
      <c r="E28" s="17" t="s">
        <v>965</v>
      </c>
      <c r="F28" s="16" t="str">
        <f aca="false">IF(COUNTIFS('2027 Calendar'!$B:$B,$B28,'2027 Calendar'!$D:$D,"Test")=0,"None",_xlfn.MINIFS('2027 Calendar'!$A:$A,'2027 Calendar'!$B:$B,$B28,'2027 Calendar'!$D:$D,"Test"))</f>
        <v>None</v>
      </c>
      <c r="G28" s="35" t="n">
        <f aca="false">COUNTIFS('2027 Calendar'!$B:$B,$B28,'2027 Calendar'!$D:$D,"Test")</f>
        <v>0</v>
      </c>
      <c r="H28" s="17" t="s">
        <v>640</v>
      </c>
      <c r="I28" s="16" t="n">
        <f aca="false">IF(COUNTIFS('Covenant Tests'!$A:$A,$B28,'Covenant Tests'!$F:$F,"&gt;"&amp;DATE(2027,12,31))=0,"",_xlfn.MINIFS('Covenant Tests'!$F:$F,'Covenant Tests'!$A:$A,$B28,'Covenant Tests'!$F:$F,"&gt;"&amp;DATE(2027,12,31)))</f>
        <v>47349</v>
      </c>
      <c r="J28" s="17" t="s">
        <v>665</v>
      </c>
    </row>
    <row r="29" customFormat="false" ht="45.75" hidden="false" customHeight="true" outlineLevel="0" collapsed="false">
      <c r="A29" s="20" t="n">
        <v>25</v>
      </c>
      <c r="B29" s="19" t="str">
        <f aca="false">HYPERLINK("#'Covenant Tests'!A"&amp;(MATCH("Newnan",'Covenant Tests'!$A$2:$A$107,0)+1),"Newnan")</f>
        <v>Newnan</v>
      </c>
      <c r="C29" s="17" t="s">
        <v>378</v>
      </c>
      <c r="D29" s="16" t="s">
        <v>670</v>
      </c>
      <c r="E29" s="17" t="s">
        <v>966</v>
      </c>
      <c r="F29" s="16" t="str">
        <f aca="false">IF(COUNTIFS('2027 Calendar'!$B:$B,$B29,'2027 Calendar'!$D:$D,"Test")=0,"None",_xlfn.MINIFS('2027 Calendar'!$A:$A,'2027 Calendar'!$B:$B,$B29,'2027 Calendar'!$D:$D,"Test"))</f>
        <v>None</v>
      </c>
      <c r="G29" s="35" t="n">
        <f aca="false">COUNTIFS('2027 Calendar'!$B:$B,$B29,'2027 Calendar'!$D:$D,"Test")</f>
        <v>0</v>
      </c>
      <c r="H29" s="17" t="s">
        <v>967</v>
      </c>
      <c r="I29" s="16" t="str">
        <f aca="false">IF(COUNTIFS('Covenant Tests'!$A:$A,$B29,'Covenant Tests'!$F:$F,"&gt;"&amp;DATE(2027,12,31))=0,"",_xlfn.MINIFS('Covenant Tests'!$F:$F,'Covenant Tests'!$A:$A,$B29,'Covenant Tests'!$F:$F,"&gt;"&amp;DATE(2027,12,31)))</f>
        <v/>
      </c>
      <c r="J29" s="17"/>
    </row>
    <row r="30" customFormat="false" ht="21" hidden="false" customHeight="true" outlineLevel="0" collapsed="false">
      <c r="A30" s="20" t="n">
        <v>26</v>
      </c>
      <c r="B30" s="19" t="str">
        <f aca="false">HYPERLINK("#'Covenant Tests'!A"&amp;(MATCH("Fishers Union",'Covenant Tests'!$A$2:$A$107,0)+1),"Fishers Union")</f>
        <v>Fishers Union</v>
      </c>
      <c r="C30" s="17" t="s">
        <v>395</v>
      </c>
      <c r="D30" s="16" t="n">
        <v>47087</v>
      </c>
      <c r="E30" s="17" t="s">
        <v>968</v>
      </c>
      <c r="F30" s="16" t="str">
        <f aca="false">IF(COUNTIFS('2027 Calendar'!$B:$B,$B30,'2027 Calendar'!$D:$D,"Test")=0,"None",_xlfn.MINIFS('2027 Calendar'!$A:$A,'2027 Calendar'!$B:$B,$B30,'2027 Calendar'!$D:$D,"Test"))</f>
        <v>None</v>
      </c>
      <c r="G30" s="35" t="n">
        <f aca="false">COUNTIFS('2027 Calendar'!$B:$B,$B30,'2027 Calendar'!$D:$D,"Test")</f>
        <v>0</v>
      </c>
      <c r="H30" s="17" t="s">
        <v>640</v>
      </c>
      <c r="I30" s="16" t="n">
        <f aca="false">IF(COUNTIFS('Covenant Tests'!$A:$A,$B30,'Covenant Tests'!$F:$F,"&gt;"&amp;DATE(2027,12,31))=0,"",_xlfn.MINIFS('Covenant Tests'!$F:$F,'Covenant Tests'!$A:$A,$B30,'Covenant Tests'!$F:$F,"&gt;"&amp;DATE(2027,12,31)))</f>
        <v>47087</v>
      </c>
      <c r="J30" s="17"/>
    </row>
    <row r="31" customFormat="false" ht="21" hidden="false" customHeight="true" outlineLevel="0" collapsed="false">
      <c r="A31" s="20" t="n">
        <v>27</v>
      </c>
      <c r="B31" s="19" t="str">
        <f aca="false">HYPERLINK("#'Covenant Tests'!A"&amp;(MATCH("Westfield 191st",'Covenant Tests'!$A$2:$A$107,0)+1),"Westfield 191st")</f>
        <v>Westfield 191st</v>
      </c>
      <c r="C31" s="17" t="s">
        <v>250</v>
      </c>
      <c r="D31" s="16" t="n">
        <v>47434</v>
      </c>
      <c r="E31" s="17" t="s">
        <v>969</v>
      </c>
      <c r="F31" s="16" t="str">
        <f aca="false">IF(COUNTIFS('2027 Calendar'!$B:$B,$B31,'2027 Calendar'!$D:$D,"Test")=0,"None",_xlfn.MINIFS('2027 Calendar'!$A:$A,'2027 Calendar'!$B:$B,$B31,'2027 Calendar'!$D:$D,"Test"))</f>
        <v>None</v>
      </c>
      <c r="G31" s="35" t="n">
        <f aca="false">COUNTIFS('2027 Calendar'!$B:$B,$B31,'2027 Calendar'!$D:$D,"Test")</f>
        <v>0</v>
      </c>
      <c r="H31" s="17" t="s">
        <v>640</v>
      </c>
      <c r="I31" s="16" t="n">
        <f aca="false">IF(COUNTIFS('Covenant Tests'!$A:$A,$B31,'Covenant Tests'!$F:$F,"&gt;"&amp;DATE(2027,12,31))=0,"",_xlfn.MINIFS('Covenant Tests'!$F:$F,'Covenant Tests'!$A:$A,$B31,'Covenant Tests'!$F:$F,"&gt;"&amp;DATE(2027,12,31)))</f>
        <v>47118</v>
      </c>
      <c r="J31" s="17"/>
    </row>
    <row r="32" customFormat="false" ht="45.75" hidden="false" customHeight="true" outlineLevel="0" collapsed="false">
      <c r="A32" s="20" t="n">
        <v>28</v>
      </c>
      <c r="B32" s="19" t="str">
        <f aca="false">HYPERLINK("#'Covenant Tests'!A"&amp;(MATCH("Overland Park",'Covenant Tests'!$A$2:$A$107,0)+1),"Overland Park")</f>
        <v>Overland Park</v>
      </c>
      <c r="C32" s="17" t="s">
        <v>207</v>
      </c>
      <c r="D32" s="16" t="n">
        <v>47269</v>
      </c>
      <c r="E32" s="17" t="s">
        <v>970</v>
      </c>
      <c r="F32" s="16" t="str">
        <f aca="false">IF(COUNTIFS('2027 Calendar'!$B:$B,$B32,'2027 Calendar'!$D:$D,"Test")=0,"None",_xlfn.MINIFS('2027 Calendar'!$A:$A,'2027 Calendar'!$B:$B,$B32,'2027 Calendar'!$D:$D,"Test"))</f>
        <v>None</v>
      </c>
      <c r="G32" s="35" t="n">
        <f aca="false">COUNTIFS('2027 Calendar'!$B:$B,$B32,'2027 Calendar'!$D:$D,"Test")</f>
        <v>0</v>
      </c>
      <c r="H32" s="17" t="s">
        <v>971</v>
      </c>
      <c r="I32" s="16" t="n">
        <f aca="false">IF(COUNTIFS('Covenant Tests'!$A:$A,$B32,'Covenant Tests'!$F:$F,"&gt;"&amp;DATE(2027,12,31))=0,"",_xlfn.MINIFS('Covenant Tests'!$F:$F,'Covenant Tests'!$A:$A,$B32,'Covenant Tests'!$F:$F,"&gt;"&amp;DATE(2027,12,31)))</f>
        <v>47269</v>
      </c>
      <c r="J32" s="17"/>
    </row>
    <row r="33" customFormat="false" ht="19.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</sheetData>
  <autoFilter ref="A4:J32"/>
  <mergeCells count="3">
    <mergeCell ref="A1:J1"/>
    <mergeCell ref="A2:J2"/>
    <mergeCell ref="A3:C3"/>
  </mergeCells>
  <printOptions headings="false" gridLines="false" gridLinesSet="true" horizontalCentered="false" verticalCentered="false"/>
  <pageMargins left="0.305555555555556" right="0.305555555555556" top="0.416666666666667" bottom="0.583333333333333" header="0.511811023622047" footer="0.2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&amp;LProperty Reference&amp;CPage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2026-10-07T15:53:23Z</dcterms:created>
  <dc:creator>openpyxl</dc:creator>
  <dc:description/>
  <dc:language>en-US</dc:language>
  <cp:lastModifiedBy>Kevin Ashburn</cp:lastModifiedBy>
  <dcterms:modified xsi:type="dcterms:W3CDTF">2026-10-07T18:56:13Z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