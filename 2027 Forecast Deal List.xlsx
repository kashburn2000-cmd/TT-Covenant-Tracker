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s" sheetId="1" state="visible" r:id="rId3"/>
  </sheets>
  <definedNames>
    <definedName function="false" hidden="true" localSheetId="0" name="_xlnm._FilterDatabase" vbProcedure="false">Deals!$A$1:$M$47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<sst xmlns="http://schemas.openxmlformats.org/spreadsheetml/2006/main" count="337" uniqueCount="253">
  <si>
    <t xml:space="preserve">#</t>
  </si>
  <si>
    <t xml:space="preserve">Property</t>
  </si>
  <si>
    <t xml:space="preserve">State</t>
  </si>
  <si>
    <t xml:space="preserve">City</t>
  </si>
  <si>
    <t xml:space="preserve">Street</t>
  </si>
  <si>
    <t xml:space="preserve">Budget Code</t>
  </si>
  <si>
    <t xml:space="preserve">Entity</t>
  </si>
  <si>
    <t xml:space="preserve">Units</t>
  </si>
  <si>
    <t xml:space="preserve">In Aug 2026 Forecast</t>
  </si>
  <si>
    <t xml:space="preserve">Jan-27 Occ %</t>
  </si>
  <si>
    <t xml:space="preserve">Dec-27 Occ %</t>
  </si>
  <si>
    <t xml:space="preserve">2027 Total Income</t>
  </si>
  <si>
    <t xml:space="preserve">2027 NOI</t>
  </si>
  <si>
    <t xml:space="preserve">AR, Fayetteville, East Dunbar Ln</t>
  </si>
  <si>
    <t xml:space="preserve">AR</t>
  </si>
  <si>
    <t xml:space="preserve">Fayetteville</t>
  </si>
  <si>
    <t xml:space="preserve">East Dunbar Ln</t>
  </si>
  <si>
    <t xml:space="preserve">wfayv</t>
  </si>
  <si>
    <t xml:space="preserve">Watermark at Fayetteville AR LLC</t>
  </si>
  <si>
    <t xml:space="preserve">Yes</t>
  </si>
  <si>
    <t xml:space="preserve">AZ, Buckeye, Yuma Rd</t>
  </si>
  <si>
    <t xml:space="preserve">AZ</t>
  </si>
  <si>
    <t xml:space="preserve">Buckeye</t>
  </si>
  <si>
    <t xml:space="preserve">Yuma Rd</t>
  </si>
  <si>
    <t xml:space="preserve">wbuck</t>
  </si>
  <si>
    <t xml:space="preserve">TTRES AZ Buckeye Yuma Rd LLC</t>
  </si>
  <si>
    <t xml:space="preserve">AZ, Phoenix, Dove Valley Rd</t>
  </si>
  <si>
    <t xml:space="preserve">Phoenix</t>
  </si>
  <si>
    <t xml:space="preserve">Dove Valley Rd</t>
  </si>
  <si>
    <t xml:space="preserve">wdove</t>
  </si>
  <si>
    <t xml:space="preserve">TTRES AZ Phoenix 29th Ave Dove Valley Dev LLC</t>
  </si>
  <si>
    <t xml:space="preserve">AZ, San Tan Valley, Gary Rd</t>
  </si>
  <si>
    <t xml:space="preserve">San Tan Valley</t>
  </si>
  <si>
    <t xml:space="preserve">Gary Rd</t>
  </si>
  <si>
    <t xml:space="preserve">wstnd</t>
  </si>
  <si>
    <t xml:space="preserve">TTRES AZ San Tan Valley Hunt Dev LLC</t>
  </si>
  <si>
    <t xml:space="preserve">CO, Colorado Springs, Spectrum Loop</t>
  </si>
  <si>
    <t xml:space="preserve">CO</t>
  </si>
  <si>
    <t xml:space="preserve">Colorado Springs</t>
  </si>
  <si>
    <t xml:space="preserve">Spectrum Loop</t>
  </si>
  <si>
    <t xml:space="preserve">wloop</t>
  </si>
  <si>
    <t xml:space="preserve">TTRES CO Colorado Springs Spectrum Loop LLC</t>
  </si>
  <si>
    <t xml:space="preserve">CO, Fort Collins, Shields St</t>
  </si>
  <si>
    <t xml:space="preserve">Fort Collins</t>
  </si>
  <si>
    <t xml:space="preserve">Shields St</t>
  </si>
  <si>
    <t xml:space="preserve">wfcco</t>
  </si>
  <si>
    <t xml:space="preserve">TTRES Fort Collins Shields CO LLC</t>
  </si>
  <si>
    <t xml:space="preserve">CO, Fort Collins, Vine Dr.</t>
  </si>
  <si>
    <t xml:space="preserve">Vine Dr.</t>
  </si>
  <si>
    <t xml:space="preserve">wvine</t>
  </si>
  <si>
    <t xml:space="preserve">TTRES CO Fort Collins Vine, LLC</t>
  </si>
  <si>
    <t xml:space="preserve">CO, Fountain, Metropolitan Road</t>
  </si>
  <si>
    <t xml:space="preserve">Fountain</t>
  </si>
  <si>
    <t xml:space="preserve">Metropolitan Road</t>
  </si>
  <si>
    <t xml:space="preserve">wfoun</t>
  </si>
  <si>
    <t xml:space="preserve">TTRES CO Fountain Metropolitan LLC</t>
  </si>
  <si>
    <t xml:space="preserve">CO, Greeley, Centerplace Dr</t>
  </si>
  <si>
    <t xml:space="preserve">Greeley</t>
  </si>
  <si>
    <t xml:space="preserve">Centerplace Dr</t>
  </si>
  <si>
    <t xml:space="preserve">wgrco</t>
  </si>
  <si>
    <t xml:space="preserve">TTRES CO Greeley Centerplace Dr LLC</t>
  </si>
  <si>
    <t xml:space="preserve">CO, Longmont, S Martin St</t>
  </si>
  <si>
    <t xml:space="preserve">Longmont</t>
  </si>
  <si>
    <t xml:space="preserve">S Martin St</t>
  </si>
  <si>
    <t xml:space="preserve">wlmnt</t>
  </si>
  <si>
    <t xml:space="preserve">Watermark at Longmont CO LLC</t>
  </si>
  <si>
    <t xml:space="preserve">CO, Monument, Jackson Creek Pkwy</t>
  </si>
  <si>
    <t xml:space="preserve">Monument</t>
  </si>
  <si>
    <t xml:space="preserve">Jackson Creek Pkwy</t>
  </si>
  <si>
    <t xml:space="preserve">wmoco</t>
  </si>
  <si>
    <t xml:space="preserve">TTRES CO Monument Jackson Creek, LLC</t>
  </si>
  <si>
    <t xml:space="preserve">CO, Parker, Twenty Mile Rd</t>
  </si>
  <si>
    <t xml:space="preserve">Parker</t>
  </si>
  <si>
    <t xml:space="preserve">Twenty Mile Rd</t>
  </si>
  <si>
    <t xml:space="preserve">w20mr</t>
  </si>
  <si>
    <t xml:space="preserve">20 Mile Road Parker CO LLC</t>
  </si>
  <si>
    <t xml:space="preserve">FL, Bradenton, El Conquistador Pkwy</t>
  </si>
  <si>
    <t xml:space="preserve">FL</t>
  </si>
  <si>
    <t xml:space="preserve">Bradenton</t>
  </si>
  <si>
    <t xml:space="preserve">El Conquistador Pkwy</t>
  </si>
  <si>
    <t xml:space="preserve">wbrtn</t>
  </si>
  <si>
    <t xml:space="preserve">TTRES FL Bradenton EL Conquistador LLC</t>
  </si>
  <si>
    <t xml:space="preserve">FL, Daytona, Williamson Blvd</t>
  </si>
  <si>
    <t xml:space="preserve">Daytona</t>
  </si>
  <si>
    <t xml:space="preserve">Williamson Blvd</t>
  </si>
  <si>
    <t xml:space="preserve">wdwfl</t>
  </si>
  <si>
    <t xml:space="preserve">Watermark at Daytona Williamson FL LLC</t>
  </si>
  <si>
    <t xml:space="preserve">FL, Ellenton, 60th Ave</t>
  </si>
  <si>
    <t xml:space="preserve">Ellenton</t>
  </si>
  <si>
    <t xml:space="preserve">60th Ave</t>
  </si>
  <si>
    <t xml:space="preserve">welfl</t>
  </si>
  <si>
    <t xml:space="preserve">Watermark at Ellenton 60th FL LLC</t>
  </si>
  <si>
    <t xml:space="preserve">FL, Lady Lake, SE 135th</t>
  </si>
  <si>
    <t xml:space="preserve">Lady Lake</t>
  </si>
  <si>
    <t xml:space="preserve">SE 135th</t>
  </si>
  <si>
    <t xml:space="preserve">wlady</t>
  </si>
  <si>
    <t xml:space="preserve">TTRES FL Lady Lake 136th Ave Dev LLC</t>
  </si>
  <si>
    <t xml:space="preserve">FL, North Port, Sumter Blvd</t>
  </si>
  <si>
    <t xml:space="preserve">North Port</t>
  </si>
  <si>
    <t xml:space="preserve">Sumter Blvd</t>
  </si>
  <si>
    <t xml:space="preserve">wnpfl</t>
  </si>
  <si>
    <t xml:space="preserve">TTRES FL North Port Sumter LLC</t>
  </si>
  <si>
    <t xml:space="preserve">FL, Ocala, 48th Ave</t>
  </si>
  <si>
    <t xml:space="preserve">Ocala</t>
  </si>
  <si>
    <t xml:space="preserve">48th Ave</t>
  </si>
  <si>
    <t xml:space="preserve">wocfl</t>
  </si>
  <si>
    <t xml:space="preserve">TTRES at Ocala 48th FL LLC</t>
  </si>
  <si>
    <t xml:space="preserve">FL, Panama City, Panama City Beach Pkwy</t>
  </si>
  <si>
    <t xml:space="preserve">Panama City</t>
  </si>
  <si>
    <t xml:space="preserve">Panama City Beach Pkwy</t>
  </si>
  <si>
    <t xml:space="preserve">wpcbf</t>
  </si>
  <si>
    <t xml:space="preserve">Watermark at PCB FL LLC</t>
  </si>
  <si>
    <t xml:space="preserve">FL, Pensacola, W Nine Mile Rd</t>
  </si>
  <si>
    <t xml:space="preserve">Pensacola</t>
  </si>
  <si>
    <t xml:space="preserve">W Nine Mile Rd</t>
  </si>
  <si>
    <t xml:space="preserve">wpn9m</t>
  </si>
  <si>
    <t xml:space="preserve">TTRES FL Pensacola 9 Mile, LLC</t>
  </si>
  <si>
    <t xml:space="preserve">FL, Ponte Vedra Beach, Burbank Ave</t>
  </si>
  <si>
    <t xml:space="preserve">Ponte Vedra Beach</t>
  </si>
  <si>
    <t xml:space="preserve">Burbank Ave</t>
  </si>
  <si>
    <t xml:space="preserve">wpvbf</t>
  </si>
  <si>
    <t xml:space="preserve">TTRES FL Ponte Vedra Beach LLC</t>
  </si>
  <si>
    <t xml:space="preserve">FL, Port St Lucie, 11918 Community Blvd</t>
  </si>
  <si>
    <t xml:space="preserve">Port St Lucie</t>
  </si>
  <si>
    <t xml:space="preserve">11918 Community Blvd</t>
  </si>
  <si>
    <t xml:space="preserve">wpslf</t>
  </si>
  <si>
    <t xml:space="preserve">Watermark at Port St Lucie FL LLC</t>
  </si>
  <si>
    <t xml:space="preserve">FL, Rockledge, Fiske Blvd</t>
  </si>
  <si>
    <t xml:space="preserve">Rockledge</t>
  </si>
  <si>
    <t xml:space="preserve">Fiske Blvd</t>
  </si>
  <si>
    <t xml:space="preserve">wrckd</t>
  </si>
  <si>
    <t xml:space="preserve">TTRES FL Rockledge Fiske Trail Dev LLC</t>
  </si>
  <si>
    <t xml:space="preserve">FL, Sarasota, Fruitville Rd.</t>
  </si>
  <si>
    <t xml:space="preserve">Sarasota</t>
  </si>
  <si>
    <t xml:space="preserve">Fruitville Rd.</t>
  </si>
  <si>
    <t xml:space="preserve">wsfld</t>
  </si>
  <si>
    <t xml:space="preserve">TTRES FL Sarasota Apex Rd Development LLC</t>
  </si>
  <si>
    <t xml:space="preserve">FL, St. Augustine, Outlet Center Dr.</t>
  </si>
  <si>
    <t xml:space="preserve">St. Augustine</t>
  </si>
  <si>
    <t xml:space="preserve">Outlet Center Dr.</t>
  </si>
  <si>
    <t xml:space="preserve">wsaug</t>
  </si>
  <si>
    <t xml:space="preserve">TTRes FL St. Augustine Outlet Centre LLC</t>
  </si>
  <si>
    <t xml:space="preserve">FL, Venice, Pinebrook Rd</t>
  </si>
  <si>
    <t xml:space="preserve">Venice</t>
  </si>
  <si>
    <t xml:space="preserve">Pinebrook Rd</t>
  </si>
  <si>
    <t xml:space="preserve">wvenf</t>
  </si>
  <si>
    <t xml:space="preserve">Watermark at Venice Pinebrook FL LLC</t>
  </si>
  <si>
    <t xml:space="preserve">FL, Vero Beach, 11th Dr.</t>
  </si>
  <si>
    <t xml:space="preserve">Vero Beach</t>
  </si>
  <si>
    <t xml:space="preserve">11th Dr.</t>
  </si>
  <si>
    <t xml:space="preserve">wvero</t>
  </si>
  <si>
    <t xml:space="preserve">TTRES FL Vero Beach 11th LLC</t>
  </si>
  <si>
    <t xml:space="preserve">GA, Pooler, Pooler Pkwy</t>
  </si>
  <si>
    <t xml:space="preserve">GA</t>
  </si>
  <si>
    <t xml:space="preserve">Pooler</t>
  </si>
  <si>
    <t xml:space="preserve">Pooler Pkwy</t>
  </si>
  <si>
    <t xml:space="preserve">wpool</t>
  </si>
  <si>
    <t xml:space="preserve">TTRES GA Pooler LLC</t>
  </si>
  <si>
    <t xml:space="preserve">GA, Stockbridge, Jodeco Rd.</t>
  </si>
  <si>
    <t xml:space="preserve">Stockbridge</t>
  </si>
  <si>
    <t xml:space="preserve">Jodeco Rd.</t>
  </si>
  <si>
    <t xml:space="preserve">wsjga</t>
  </si>
  <si>
    <t xml:space="preserve">TTRES GA Stockbridge Jodeco LLC</t>
  </si>
  <si>
    <t xml:space="preserve">GA, Union City, Derrick</t>
  </si>
  <si>
    <t xml:space="preserve">Union City</t>
  </si>
  <si>
    <t xml:space="preserve">Derrick</t>
  </si>
  <si>
    <t xml:space="preserve">wucga</t>
  </si>
  <si>
    <t xml:space="preserve">TTRES GA Union City Derrick, LLC</t>
  </si>
  <si>
    <t xml:space="preserve">ID, Nampa, Sundance Rd.</t>
  </si>
  <si>
    <t xml:space="preserve">ID</t>
  </si>
  <si>
    <t xml:space="preserve">Nampa</t>
  </si>
  <si>
    <t xml:space="preserve">Sundance Rd.</t>
  </si>
  <si>
    <t xml:space="preserve">wnpad</t>
  </si>
  <si>
    <t xml:space="preserve">TTRES ID Nampa Sundance LLC</t>
  </si>
  <si>
    <t xml:space="preserve">MI, Wyoming, Wilson Ave</t>
  </si>
  <si>
    <t xml:space="preserve">MI</t>
  </si>
  <si>
    <t xml:space="preserve">Wyoming</t>
  </si>
  <si>
    <t xml:space="preserve">Wilson Ave</t>
  </si>
  <si>
    <t xml:space="preserve">wwymi</t>
  </si>
  <si>
    <t xml:space="preserve">TTRES MI Wyoming Baneberry Ave LLC</t>
  </si>
  <si>
    <t xml:space="preserve">MN, Woodbury, Spring Hill Dr</t>
  </si>
  <si>
    <t xml:space="preserve">MN</t>
  </si>
  <si>
    <t xml:space="preserve">Woodbury</t>
  </si>
  <si>
    <t xml:space="preserve">Spring Hill Dr</t>
  </si>
  <si>
    <t xml:space="preserve">wwood</t>
  </si>
  <si>
    <t xml:space="preserve">TTRES at Woodbury Springhill MN LLC</t>
  </si>
  <si>
    <t xml:space="preserve">MO, Raymore, Dean Ave</t>
  </si>
  <si>
    <t xml:space="preserve">MO</t>
  </si>
  <si>
    <t xml:space="preserve">Raymore</t>
  </si>
  <si>
    <t xml:space="preserve">Dean Ave</t>
  </si>
  <si>
    <t xml:space="preserve">wraym</t>
  </si>
  <si>
    <t xml:space="preserve">TTRES MO Raymore Dean Ave LLC</t>
  </si>
  <si>
    <t xml:space="preserve">AR, Fayetteville, Van Asche</t>
  </si>
  <si>
    <t xml:space="preserve">Van Asche</t>
  </si>
  <si>
    <t xml:space="preserve">wfvar</t>
  </si>
  <si>
    <t xml:space="preserve">TTRES AR Fayetteville Van Asche LLC</t>
  </si>
  <si>
    <t xml:space="preserve">No</t>
  </si>
  <si>
    <t xml:space="preserve">AZ, Gilbert, Germann Val Vista</t>
  </si>
  <si>
    <t xml:space="preserve">Gilbert</t>
  </si>
  <si>
    <t xml:space="preserve">Germann Val Vista</t>
  </si>
  <si>
    <t xml:space="preserve">wvalv</t>
  </si>
  <si>
    <t xml:space="preserve">TTRES AZ Gilbert Germann Val Vista Dev LLC</t>
  </si>
  <si>
    <t xml:space="preserve">CO, Colorado Springs, Venetucci Blvd</t>
  </si>
  <si>
    <t xml:space="preserve">Venetucci Blvd</t>
  </si>
  <si>
    <t xml:space="preserve">wcvco</t>
  </si>
  <si>
    <t xml:space="preserve">TTRES CO Colorado Springs Venetucci Blvd LLC</t>
  </si>
  <si>
    <t xml:space="preserve">CO, Longmont, Hover</t>
  </si>
  <si>
    <t xml:space="preserve">Hover</t>
  </si>
  <si>
    <t xml:space="preserve">whovr</t>
  </si>
  <si>
    <t xml:space="preserve">TTRES CO Longmont Hover, LLC</t>
  </si>
  <si>
    <t xml:space="preserve">CO, Monument, Higby</t>
  </si>
  <si>
    <t xml:space="preserve">Higby</t>
  </si>
  <si>
    <t xml:space="preserve">wmhco</t>
  </si>
  <si>
    <t xml:space="preserve">TTRES CO Monument Higby LLC</t>
  </si>
  <si>
    <t xml:space="preserve">CO, Wheat Ridge, Kipling St</t>
  </si>
  <si>
    <t xml:space="preserve">Wheat Ridge</t>
  </si>
  <si>
    <t xml:space="preserve">Kipling St</t>
  </si>
  <si>
    <t xml:space="preserve">wwrco</t>
  </si>
  <si>
    <t xml:space="preserve">TTRES CO Wheat Ridge Kipling St LLC</t>
  </si>
  <si>
    <t xml:space="preserve">GA, Buford, Laurel Crossing</t>
  </si>
  <si>
    <t xml:space="preserve">Buford</t>
  </si>
  <si>
    <t xml:space="preserve">Laurel Crossing</t>
  </si>
  <si>
    <t xml:space="preserve">wbuga</t>
  </si>
  <si>
    <t xml:space="preserve">TTRES GA Buford Laurel Crossing LLC</t>
  </si>
  <si>
    <t xml:space="preserve">GA, Dacula, Harbins Rd</t>
  </si>
  <si>
    <t xml:space="preserve">Dacula</t>
  </si>
  <si>
    <t xml:space="preserve">Harbins Rd</t>
  </si>
  <si>
    <t xml:space="preserve">wdacg</t>
  </si>
  <si>
    <t xml:space="preserve">TTRES GA Dacula Harbins Rd Dev LLC</t>
  </si>
  <si>
    <t xml:space="preserve">GA, Newnan, Newnan Crossing</t>
  </si>
  <si>
    <t xml:space="preserve">Newnan</t>
  </si>
  <si>
    <t xml:space="preserve">Newnan Crossing</t>
  </si>
  <si>
    <t xml:space="preserve">wncga</t>
  </si>
  <si>
    <t xml:space="preserve">TTRES GA Newnan Crossing LLC</t>
  </si>
  <si>
    <t xml:space="preserve">IN, Fishers, Union</t>
  </si>
  <si>
    <t xml:space="preserve">IN</t>
  </si>
  <si>
    <t xml:space="preserve">Fishers</t>
  </si>
  <si>
    <t xml:space="preserve">Union</t>
  </si>
  <si>
    <t xml:space="preserve">wunfd</t>
  </si>
  <si>
    <t xml:space="preserve">TTRES IN Fishers Union LLC</t>
  </si>
  <si>
    <t xml:space="preserve">IN, Westfield, 191st</t>
  </si>
  <si>
    <t xml:space="preserve">Westfield</t>
  </si>
  <si>
    <t xml:space="preserve">191st</t>
  </si>
  <si>
    <t xml:space="preserve">wwfin</t>
  </si>
  <si>
    <t xml:space="preserve">TTRES IN Westfield 191st LLC</t>
  </si>
  <si>
    <t xml:space="preserve">KS, Overland Park, Metcalf</t>
  </si>
  <si>
    <t xml:space="preserve">KS</t>
  </si>
  <si>
    <t xml:space="preserve">Overland Park</t>
  </si>
  <si>
    <t xml:space="preserve">Metcalf</t>
  </si>
  <si>
    <t xml:space="preserve">wovpk</t>
  </si>
  <si>
    <t xml:space="preserve">TTRES KS Overland Park Metcalf LLC</t>
  </si>
  <si>
    <t xml:space="preserve">Total</t>
  </si>
  <si>
    <t xml:space="preserve">Source: 2027 Budgets - Forecast Format.xlsx (Draft 1 2027 Operating Budgets). "In Aug 2026 Forecast" = has a tab in Full Portfolio August 2026 Forecasts.xlsx. Occupancy = Ending Occupancy %; income and NOI are the 12-month 2027 budget totals.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</si>
</sst>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;&quot;($&quot;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n">
        <v>306</v>
      </c>
      <c r="I2" s="4" t="s">
        <v>19</v>
      </c>
      <c r="J2" s="5" t="n">
        <v>0.9075</v>
      </c>
      <c r="K2" s="5" t="n">
        <v>0.92</v>
      </c>
      <c r="L2" s="6" t="n">
        <v>6095992</v>
      </c>
      <c r="M2" s="6" t="n">
        <v>3685300</v>
      </c>
    </row>
    <row r="3" customFormat="false" ht="15" hidden="false" customHeight="false" outlineLevel="0" collapsed="false">
      <c r="A3" s="2" t="n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 t="n">
        <v>252</v>
      </c>
      <c r="I3" s="4" t="s">
        <v>19</v>
      </c>
      <c r="J3" s="5" t="n">
        <v>0.925</v>
      </c>
      <c r="K3" s="5" t="n">
        <v>0.94</v>
      </c>
      <c r="L3" s="6" t="n">
        <v>4740071</v>
      </c>
      <c r="M3" s="6" t="n">
        <v>2336427</v>
      </c>
    </row>
    <row r="4" customFormat="false" ht="15" hidden="false" customHeight="false" outlineLevel="0" collapsed="false">
      <c r="A4" s="2" t="n">
        <v>3</v>
      </c>
      <c r="B4" s="2" t="s">
        <v>26</v>
      </c>
      <c r="C4" s="2" t="s">
        <v>21</v>
      </c>
      <c r="D4" s="2" t="s">
        <v>27</v>
      </c>
      <c r="E4" s="2" t="s">
        <v>28</v>
      </c>
      <c r="F4" s="2" t="s">
        <v>29</v>
      </c>
      <c r="G4" s="2" t="s">
        <v>30</v>
      </c>
      <c r="H4" s="3" t="n">
        <v>224</v>
      </c>
      <c r="I4" s="4" t="s">
        <v>19</v>
      </c>
      <c r="J4" s="5" t="n">
        <v>0.9241</v>
      </c>
      <c r="K4" s="5" t="n">
        <v>0.9286</v>
      </c>
      <c r="L4" s="6" t="n">
        <v>4751037</v>
      </c>
      <c r="M4" s="6" t="n">
        <v>2483903</v>
      </c>
    </row>
    <row r="5" customFormat="false" ht="15" hidden="false" customHeight="false" outlineLevel="0" collapsed="false">
      <c r="A5" s="2" t="n">
        <v>4</v>
      </c>
      <c r="B5" s="2" t="s">
        <v>31</v>
      </c>
      <c r="C5" s="2" t="s">
        <v>21</v>
      </c>
      <c r="D5" s="2" t="s">
        <v>32</v>
      </c>
      <c r="E5" s="2" t="s">
        <v>33</v>
      </c>
      <c r="F5" s="2" t="s">
        <v>34</v>
      </c>
      <c r="G5" s="2" t="s">
        <v>35</v>
      </c>
      <c r="H5" s="3" t="n">
        <v>308</v>
      </c>
      <c r="I5" s="4" t="s">
        <v>19</v>
      </c>
      <c r="J5" s="5" t="n">
        <v>0.7305</v>
      </c>
      <c r="K5" s="5" t="n">
        <v>0.9188</v>
      </c>
      <c r="L5" s="6" t="n">
        <v>5445971</v>
      </c>
      <c r="M5" s="6" t="n">
        <v>2956646</v>
      </c>
    </row>
    <row r="6" customFormat="false" ht="15" hidden="false" customHeight="false" outlineLevel="0" collapsed="false">
      <c r="A6" s="2" t="n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3" t="n">
        <v>276</v>
      </c>
      <c r="I6" s="4" t="s">
        <v>19</v>
      </c>
      <c r="J6" s="5" t="n">
        <v>0.8841</v>
      </c>
      <c r="K6" s="5" t="n">
        <v>0.9312</v>
      </c>
      <c r="L6" s="6" t="n">
        <v>5932626</v>
      </c>
      <c r="M6" s="6" t="n">
        <v>3356960</v>
      </c>
    </row>
    <row r="7" customFormat="false" ht="15" hidden="false" customHeight="false" outlineLevel="0" collapsed="false">
      <c r="A7" s="2" t="n">
        <v>6</v>
      </c>
      <c r="B7" s="2" t="s">
        <v>42</v>
      </c>
      <c r="C7" s="2" t="s">
        <v>37</v>
      </c>
      <c r="D7" s="2" t="s">
        <v>43</v>
      </c>
      <c r="E7" s="2" t="s">
        <v>44</v>
      </c>
      <c r="F7" s="2" t="s">
        <v>45</v>
      </c>
      <c r="G7" s="2" t="s">
        <v>46</v>
      </c>
      <c r="H7" s="3" t="n">
        <v>319</v>
      </c>
      <c r="I7" s="4" t="s">
        <v>19</v>
      </c>
      <c r="J7" s="5" t="n">
        <v>0.93</v>
      </c>
      <c r="K7" s="5" t="n">
        <v>0.945</v>
      </c>
      <c r="L7" s="6" t="n">
        <v>8380804</v>
      </c>
      <c r="M7" s="6" t="n">
        <v>5638593</v>
      </c>
    </row>
    <row r="8" customFormat="false" ht="15" hidden="false" customHeight="false" outlineLevel="0" collapsed="false">
      <c r="A8" s="2" t="n">
        <v>7</v>
      </c>
      <c r="B8" s="2" t="s">
        <v>47</v>
      </c>
      <c r="C8" s="2" t="s">
        <v>37</v>
      </c>
      <c r="D8" s="2" t="s">
        <v>43</v>
      </c>
      <c r="E8" s="2" t="s">
        <v>48</v>
      </c>
      <c r="F8" s="2" t="s">
        <v>49</v>
      </c>
      <c r="G8" s="2" t="s">
        <v>50</v>
      </c>
      <c r="H8" s="3" t="n">
        <v>344</v>
      </c>
      <c r="I8" s="4" t="s">
        <v>19</v>
      </c>
      <c r="J8" s="5" t="n">
        <v>0.8023</v>
      </c>
      <c r="K8" s="5" t="n">
        <v>0.936</v>
      </c>
      <c r="L8" s="6" t="n">
        <v>7857184</v>
      </c>
      <c r="M8" s="6" t="n">
        <v>5070369</v>
      </c>
    </row>
    <row r="9" customFormat="false" ht="15" hidden="false" customHeight="false" outlineLevel="0" collapsed="false">
      <c r="A9" s="2" t="n">
        <v>8</v>
      </c>
      <c r="B9" s="2" t="s">
        <v>51</v>
      </c>
      <c r="C9" s="2" t="s">
        <v>37</v>
      </c>
      <c r="D9" s="2" t="s">
        <v>52</v>
      </c>
      <c r="E9" s="2" t="s">
        <v>53</v>
      </c>
      <c r="F9" s="2" t="s">
        <v>54</v>
      </c>
      <c r="G9" s="2" t="s">
        <v>55</v>
      </c>
      <c r="H9" s="3" t="n">
        <v>336</v>
      </c>
      <c r="I9" s="4" t="s">
        <v>19</v>
      </c>
      <c r="J9" s="5" t="n">
        <v>0.9345</v>
      </c>
      <c r="K9" s="5" t="n">
        <v>0.9345</v>
      </c>
      <c r="L9" s="6" t="n">
        <v>7995627</v>
      </c>
      <c r="M9" s="6" t="n">
        <v>5088218</v>
      </c>
    </row>
    <row r="10" customFormat="false" ht="15" hidden="false" customHeight="false" outlineLevel="0" collapsed="false">
      <c r="A10" s="2" t="n">
        <v>9</v>
      </c>
      <c r="B10" s="2" t="s">
        <v>56</v>
      </c>
      <c r="C10" s="2" t="s">
        <v>37</v>
      </c>
      <c r="D10" s="2" t="s">
        <v>57</v>
      </c>
      <c r="E10" s="2" t="s">
        <v>58</v>
      </c>
      <c r="F10" s="2" t="s">
        <v>59</v>
      </c>
      <c r="G10" s="2" t="s">
        <v>60</v>
      </c>
      <c r="H10" s="3" t="n">
        <v>336</v>
      </c>
      <c r="I10" s="4" t="s">
        <v>19</v>
      </c>
      <c r="J10" s="5" t="n">
        <v>0.955</v>
      </c>
      <c r="K10" s="5" t="n">
        <v>0.92</v>
      </c>
      <c r="L10" s="6" t="n">
        <v>7200170</v>
      </c>
      <c r="M10" s="6" t="n">
        <v>4481513</v>
      </c>
    </row>
    <row r="11" customFormat="false" ht="15" hidden="false" customHeight="false" outlineLevel="0" collapsed="false">
      <c r="A11" s="2" t="n">
        <v>10</v>
      </c>
      <c r="B11" s="2" t="s">
        <v>61</v>
      </c>
      <c r="C11" s="2" t="s">
        <v>37</v>
      </c>
      <c r="D11" s="2" t="s">
        <v>62</v>
      </c>
      <c r="E11" s="2" t="s">
        <v>63</v>
      </c>
      <c r="F11" s="2" t="s">
        <v>64</v>
      </c>
      <c r="G11" s="2" t="s">
        <v>65</v>
      </c>
      <c r="H11" s="3" t="n">
        <v>276</v>
      </c>
      <c r="I11" s="4" t="s">
        <v>19</v>
      </c>
      <c r="J11" s="5" t="n">
        <v>0.93</v>
      </c>
      <c r="K11" s="5" t="n">
        <v>0.93</v>
      </c>
      <c r="L11" s="6" t="n">
        <v>6718149</v>
      </c>
      <c r="M11" s="6" t="n">
        <v>4166922</v>
      </c>
    </row>
    <row r="12" customFormat="false" ht="15" hidden="false" customHeight="false" outlineLevel="0" collapsed="false">
      <c r="A12" s="2" t="n">
        <v>11</v>
      </c>
      <c r="B12" s="2" t="s">
        <v>66</v>
      </c>
      <c r="C12" s="2" t="s">
        <v>37</v>
      </c>
      <c r="D12" s="2" t="s">
        <v>67</v>
      </c>
      <c r="E12" s="2" t="s">
        <v>68</v>
      </c>
      <c r="F12" s="2" t="s">
        <v>69</v>
      </c>
      <c r="G12" s="2" t="s">
        <v>70</v>
      </c>
      <c r="H12" s="3" t="n">
        <v>264</v>
      </c>
      <c r="I12" s="4" t="s">
        <v>19</v>
      </c>
      <c r="J12" s="5" t="n">
        <v>0.928</v>
      </c>
      <c r="K12" s="5" t="n">
        <v>0.9697</v>
      </c>
      <c r="L12" s="6" t="n">
        <v>6031030</v>
      </c>
      <c r="M12" s="6" t="n">
        <v>3279643</v>
      </c>
    </row>
    <row r="13" customFormat="false" ht="15" hidden="false" customHeight="false" outlineLevel="0" collapsed="false">
      <c r="A13" s="2" t="n">
        <v>12</v>
      </c>
      <c r="B13" s="2" t="s">
        <v>71</v>
      </c>
      <c r="C13" s="2" t="s">
        <v>37</v>
      </c>
      <c r="D13" s="2" t="s">
        <v>72</v>
      </c>
      <c r="E13" s="2" t="s">
        <v>73</v>
      </c>
      <c r="F13" s="2" t="s">
        <v>74</v>
      </c>
      <c r="G13" s="2" t="s">
        <v>75</v>
      </c>
      <c r="H13" s="3" t="n">
        <v>295</v>
      </c>
      <c r="I13" s="4" t="s">
        <v>19</v>
      </c>
      <c r="J13" s="5" t="n">
        <v>0.9492</v>
      </c>
      <c r="K13" s="5" t="n">
        <v>0.9458</v>
      </c>
      <c r="L13" s="6" t="n">
        <v>7874995</v>
      </c>
      <c r="M13" s="6" t="n">
        <v>5094933</v>
      </c>
    </row>
    <row r="14" customFormat="false" ht="15" hidden="false" customHeight="false" outlineLevel="0" collapsed="false">
      <c r="A14" s="2" t="n">
        <v>13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81</v>
      </c>
      <c r="H14" s="3" t="n">
        <v>280</v>
      </c>
      <c r="I14" s="4" t="s">
        <v>19</v>
      </c>
      <c r="J14" s="5" t="n">
        <v>0.9071</v>
      </c>
      <c r="K14" s="5" t="n">
        <v>0.9536</v>
      </c>
      <c r="L14" s="6" t="n">
        <v>7218420</v>
      </c>
      <c r="M14" s="6" t="n">
        <v>3895108</v>
      </c>
    </row>
    <row r="15" customFormat="false" ht="15" hidden="false" customHeight="false" outlineLevel="0" collapsed="false">
      <c r="A15" s="2" t="n">
        <v>14</v>
      </c>
      <c r="B15" s="2" t="s">
        <v>82</v>
      </c>
      <c r="C15" s="2" t="s">
        <v>77</v>
      </c>
      <c r="D15" s="2" t="s">
        <v>83</v>
      </c>
      <c r="E15" s="2" t="s">
        <v>84</v>
      </c>
      <c r="F15" s="2" t="s">
        <v>85</v>
      </c>
      <c r="G15" s="2" t="s">
        <v>86</v>
      </c>
      <c r="H15" s="3" t="n">
        <v>300</v>
      </c>
      <c r="I15" s="4" t="s">
        <v>19</v>
      </c>
      <c r="J15" s="5" t="n">
        <v>0.94</v>
      </c>
      <c r="K15" s="5" t="n">
        <v>0.9433</v>
      </c>
      <c r="L15" s="6" t="n">
        <v>6414738</v>
      </c>
      <c r="M15" s="6" t="n">
        <v>3257380</v>
      </c>
    </row>
    <row r="16" customFormat="false" ht="15" hidden="false" customHeight="false" outlineLevel="0" collapsed="false">
      <c r="A16" s="2" t="n">
        <v>15</v>
      </c>
      <c r="B16" s="2" t="s">
        <v>87</v>
      </c>
      <c r="C16" s="2" t="s">
        <v>77</v>
      </c>
      <c r="D16" s="2" t="s">
        <v>88</v>
      </c>
      <c r="E16" s="2" t="s">
        <v>89</v>
      </c>
      <c r="F16" s="2" t="s">
        <v>90</v>
      </c>
      <c r="G16" s="2" t="s">
        <v>91</v>
      </c>
      <c r="H16" s="3" t="n">
        <v>320</v>
      </c>
      <c r="I16" s="4" t="s">
        <v>19</v>
      </c>
      <c r="J16" s="5" t="n">
        <v>0.845</v>
      </c>
      <c r="K16" s="5" t="n">
        <v>0.9375</v>
      </c>
      <c r="L16" s="6" t="n">
        <v>6946227</v>
      </c>
      <c r="M16" s="6" t="n">
        <v>3726202</v>
      </c>
    </row>
    <row r="17" customFormat="false" ht="15" hidden="false" customHeight="false" outlineLevel="0" collapsed="false">
      <c r="A17" s="2" t="n">
        <v>16</v>
      </c>
      <c r="B17" s="2" t="s">
        <v>92</v>
      </c>
      <c r="C17" s="2" t="s">
        <v>77</v>
      </c>
      <c r="D17" s="2" t="s">
        <v>93</v>
      </c>
      <c r="E17" s="2" t="s">
        <v>94</v>
      </c>
      <c r="F17" s="2" t="s">
        <v>95</v>
      </c>
      <c r="G17" s="2" t="s">
        <v>96</v>
      </c>
      <c r="H17" s="3" t="n">
        <v>300</v>
      </c>
      <c r="I17" s="4" t="s">
        <v>19</v>
      </c>
      <c r="J17" s="5" t="n">
        <v>0.8867</v>
      </c>
      <c r="K17" s="5" t="n">
        <v>0.94</v>
      </c>
      <c r="L17" s="6" t="n">
        <v>5868156</v>
      </c>
      <c r="M17" s="6" t="n">
        <v>3266504</v>
      </c>
    </row>
    <row r="18" customFormat="false" ht="15" hidden="false" customHeight="false" outlineLevel="0" collapsed="false">
      <c r="A18" s="2" t="n">
        <v>17</v>
      </c>
      <c r="B18" s="2" t="s">
        <v>97</v>
      </c>
      <c r="C18" s="2" t="s">
        <v>77</v>
      </c>
      <c r="D18" s="2" t="s">
        <v>98</v>
      </c>
      <c r="E18" s="2" t="s">
        <v>99</v>
      </c>
      <c r="F18" s="2" t="s">
        <v>100</v>
      </c>
      <c r="G18" s="2" t="s">
        <v>101</v>
      </c>
      <c r="H18" s="3" t="n">
        <v>268</v>
      </c>
      <c r="I18" s="4" t="s">
        <v>19</v>
      </c>
      <c r="J18" s="5" t="n">
        <v>0.6604</v>
      </c>
      <c r="K18" s="5" t="n">
        <v>0.9366</v>
      </c>
      <c r="L18" s="6" t="n">
        <v>5599113</v>
      </c>
      <c r="M18" s="6" t="n">
        <v>2689190</v>
      </c>
    </row>
    <row r="19" customFormat="false" ht="15" hidden="false" customHeight="false" outlineLevel="0" collapsed="false">
      <c r="A19" s="2" t="n">
        <v>18</v>
      </c>
      <c r="B19" s="2" t="s">
        <v>102</v>
      </c>
      <c r="C19" s="2" t="s">
        <v>77</v>
      </c>
      <c r="D19" s="2" t="s">
        <v>103</v>
      </c>
      <c r="E19" s="2" t="s">
        <v>104</v>
      </c>
      <c r="F19" s="2" t="s">
        <v>105</v>
      </c>
      <c r="G19" s="2" t="s">
        <v>106</v>
      </c>
      <c r="H19" s="3" t="n">
        <v>320</v>
      </c>
      <c r="I19" s="4" t="s">
        <v>19</v>
      </c>
      <c r="J19" s="5" t="n">
        <v>0.94</v>
      </c>
      <c r="K19" s="5" t="n">
        <v>0.9438</v>
      </c>
      <c r="L19" s="6" t="n">
        <v>6580083</v>
      </c>
      <c r="M19" s="6" t="n">
        <v>3369190</v>
      </c>
    </row>
    <row r="20" customFormat="false" ht="15" hidden="false" customHeight="false" outlineLevel="0" collapsed="false">
      <c r="A20" s="2" t="n">
        <v>19</v>
      </c>
      <c r="B20" s="2" t="s">
        <v>107</v>
      </c>
      <c r="C20" s="2" t="s">
        <v>77</v>
      </c>
      <c r="D20" s="2" t="s">
        <v>108</v>
      </c>
      <c r="E20" s="2" t="s">
        <v>109</v>
      </c>
      <c r="F20" s="2" t="s">
        <v>110</v>
      </c>
      <c r="G20" s="2" t="s">
        <v>111</v>
      </c>
      <c r="H20" s="3" t="n">
        <v>312</v>
      </c>
      <c r="I20" s="4" t="s">
        <v>19</v>
      </c>
      <c r="J20" s="5" t="n">
        <v>0.94</v>
      </c>
      <c r="K20" s="5" t="n">
        <v>0.9375</v>
      </c>
      <c r="L20" s="6" t="n">
        <v>6217086</v>
      </c>
      <c r="M20" s="6" t="n">
        <v>3475011</v>
      </c>
    </row>
    <row r="21" customFormat="false" ht="15" hidden="false" customHeight="false" outlineLevel="0" collapsed="false">
      <c r="A21" s="2" t="n">
        <v>20</v>
      </c>
      <c r="B21" s="2" t="s">
        <v>112</v>
      </c>
      <c r="C21" s="2" t="s">
        <v>77</v>
      </c>
      <c r="D21" s="2" t="s">
        <v>113</v>
      </c>
      <c r="E21" s="2" t="s">
        <v>114</v>
      </c>
      <c r="F21" s="2" t="s">
        <v>115</v>
      </c>
      <c r="G21" s="2" t="s">
        <v>116</v>
      </c>
      <c r="H21" s="3" t="n">
        <v>324</v>
      </c>
      <c r="I21" s="4" t="s">
        <v>19</v>
      </c>
      <c r="J21" s="5" t="n">
        <v>0.8549</v>
      </c>
      <c r="K21" s="5" t="n">
        <v>0.9475</v>
      </c>
      <c r="L21" s="6" t="n">
        <v>6737088</v>
      </c>
      <c r="M21" s="6" t="n">
        <v>3789334</v>
      </c>
    </row>
    <row r="22" customFormat="false" ht="15" hidden="false" customHeight="false" outlineLevel="0" collapsed="false">
      <c r="A22" s="2" t="n">
        <v>21</v>
      </c>
      <c r="B22" s="2" t="s">
        <v>117</v>
      </c>
      <c r="C22" s="2" t="s">
        <v>77</v>
      </c>
      <c r="D22" s="2" t="s">
        <v>118</v>
      </c>
      <c r="E22" s="2" t="s">
        <v>119</v>
      </c>
      <c r="F22" s="2" t="s">
        <v>120</v>
      </c>
      <c r="G22" s="2" t="s">
        <v>121</v>
      </c>
      <c r="H22" s="3" t="n">
        <v>312</v>
      </c>
      <c r="I22" s="4" t="s">
        <v>19</v>
      </c>
      <c r="J22" s="5" t="n">
        <v>0.6314</v>
      </c>
      <c r="K22" s="5" t="n">
        <v>0.9551</v>
      </c>
      <c r="L22" s="6" t="n">
        <v>6001255</v>
      </c>
      <c r="M22" s="6" t="n">
        <v>3067871</v>
      </c>
    </row>
    <row r="23" customFormat="false" ht="15" hidden="false" customHeight="false" outlineLevel="0" collapsed="false">
      <c r="A23" s="2" t="n">
        <v>22</v>
      </c>
      <c r="B23" s="2" t="s">
        <v>122</v>
      </c>
      <c r="C23" s="2" t="s">
        <v>77</v>
      </c>
      <c r="D23" s="2" t="s">
        <v>123</v>
      </c>
      <c r="E23" s="2" t="s">
        <v>124</v>
      </c>
      <c r="F23" s="2" t="s">
        <v>125</v>
      </c>
      <c r="G23" s="2" t="s">
        <v>126</v>
      </c>
      <c r="H23" s="3" t="n">
        <v>214</v>
      </c>
      <c r="I23" s="4" t="s">
        <v>19</v>
      </c>
      <c r="J23" s="5" t="n">
        <v>0.945</v>
      </c>
      <c r="K23" s="5" t="n">
        <v>0.9486</v>
      </c>
      <c r="L23" s="6" t="n">
        <v>5947819</v>
      </c>
      <c r="M23" s="6" t="n">
        <v>2862637</v>
      </c>
    </row>
    <row r="24" customFormat="false" ht="15" hidden="false" customHeight="false" outlineLevel="0" collapsed="false">
      <c r="A24" s="2" t="n">
        <v>23</v>
      </c>
      <c r="B24" s="2" t="s">
        <v>127</v>
      </c>
      <c r="C24" s="2" t="s">
        <v>77</v>
      </c>
      <c r="D24" s="2" t="s">
        <v>128</v>
      </c>
      <c r="E24" s="2" t="s">
        <v>129</v>
      </c>
      <c r="F24" s="2" t="s">
        <v>130</v>
      </c>
      <c r="G24" s="2" t="s">
        <v>131</v>
      </c>
      <c r="H24" s="3" t="n">
        <v>380</v>
      </c>
      <c r="I24" s="4" t="s">
        <v>19</v>
      </c>
      <c r="J24" s="5" t="n">
        <v>0.75</v>
      </c>
      <c r="K24" s="5" t="n">
        <v>0.9316</v>
      </c>
      <c r="L24" s="6" t="n">
        <v>8722689</v>
      </c>
      <c r="M24" s="6" t="n">
        <v>5050024</v>
      </c>
    </row>
    <row r="25" customFormat="false" ht="15" hidden="false" customHeight="false" outlineLevel="0" collapsed="false">
      <c r="A25" s="2" t="n">
        <v>24</v>
      </c>
      <c r="B25" s="2" t="s">
        <v>132</v>
      </c>
      <c r="C25" s="2" t="s">
        <v>77</v>
      </c>
      <c r="D25" s="2" t="s">
        <v>133</v>
      </c>
      <c r="E25" s="2" t="s">
        <v>134</v>
      </c>
      <c r="F25" s="2" t="s">
        <v>135</v>
      </c>
      <c r="G25" s="2" t="s">
        <v>136</v>
      </c>
      <c r="H25" s="3" t="n">
        <v>257</v>
      </c>
      <c r="I25" s="4" t="s">
        <v>19</v>
      </c>
      <c r="J25" s="5" t="n">
        <v>0.9416</v>
      </c>
      <c r="K25" s="5" t="n">
        <v>0.9416</v>
      </c>
      <c r="L25" s="6" t="n">
        <v>6769948</v>
      </c>
      <c r="M25" s="6" t="n">
        <v>3866275</v>
      </c>
    </row>
    <row r="26" customFormat="false" ht="15" hidden="false" customHeight="false" outlineLevel="0" collapsed="false">
      <c r="A26" s="2" t="n">
        <v>25</v>
      </c>
      <c r="B26" s="2" t="s">
        <v>137</v>
      </c>
      <c r="C26" s="2" t="s">
        <v>77</v>
      </c>
      <c r="D26" s="2" t="s">
        <v>138</v>
      </c>
      <c r="E26" s="2" t="s">
        <v>139</v>
      </c>
      <c r="F26" s="2" t="s">
        <v>140</v>
      </c>
      <c r="G26" s="2" t="s">
        <v>141</v>
      </c>
      <c r="H26" s="3" t="n">
        <v>324</v>
      </c>
      <c r="I26" s="4" t="s">
        <v>19</v>
      </c>
      <c r="J26" s="5" t="n">
        <v>0.716</v>
      </c>
      <c r="K26" s="5" t="n">
        <v>0.9198</v>
      </c>
      <c r="L26" s="6" t="n">
        <v>5623746</v>
      </c>
      <c r="M26" s="6" t="n">
        <v>2358144</v>
      </c>
    </row>
    <row r="27" customFormat="false" ht="15" hidden="false" customHeight="false" outlineLevel="0" collapsed="false">
      <c r="A27" s="2" t="n">
        <v>26</v>
      </c>
      <c r="B27" s="2" t="s">
        <v>142</v>
      </c>
      <c r="C27" s="2" t="s">
        <v>77</v>
      </c>
      <c r="D27" s="2" t="s">
        <v>143</v>
      </c>
      <c r="E27" s="2" t="s">
        <v>144</v>
      </c>
      <c r="F27" s="2" t="s">
        <v>145</v>
      </c>
      <c r="G27" s="2" t="s">
        <v>146</v>
      </c>
      <c r="H27" s="3" t="n">
        <v>244</v>
      </c>
      <c r="I27" s="4" t="s">
        <v>19</v>
      </c>
      <c r="J27" s="5" t="n">
        <v>0.9303</v>
      </c>
      <c r="K27" s="5" t="n">
        <v>0.9303</v>
      </c>
      <c r="L27" s="6" t="n">
        <v>6177110</v>
      </c>
      <c r="M27" s="6" t="n">
        <v>3351793</v>
      </c>
    </row>
    <row r="28" customFormat="false" ht="15" hidden="false" customHeight="false" outlineLevel="0" collapsed="false">
      <c r="A28" s="2" t="n">
        <v>27</v>
      </c>
      <c r="B28" s="2" t="s">
        <v>147</v>
      </c>
      <c r="C28" s="2" t="s">
        <v>77</v>
      </c>
      <c r="D28" s="2" t="s">
        <v>148</v>
      </c>
      <c r="E28" s="2" t="s">
        <v>149</v>
      </c>
      <c r="F28" s="2" t="s">
        <v>150</v>
      </c>
      <c r="G28" s="2" t="s">
        <v>151</v>
      </c>
      <c r="H28" s="3" t="n">
        <v>276</v>
      </c>
      <c r="I28" s="4" t="s">
        <v>19</v>
      </c>
      <c r="J28" s="5" t="n">
        <v>0.721</v>
      </c>
      <c r="K28" s="5" t="n">
        <v>0.9457</v>
      </c>
      <c r="L28" s="6" t="n">
        <v>6484210</v>
      </c>
      <c r="M28" s="6" t="n">
        <v>3766100</v>
      </c>
    </row>
    <row r="29" customFormat="false" ht="15" hidden="false" customHeight="false" outlineLevel="0" collapsed="false">
      <c r="A29" s="2" t="n">
        <v>28</v>
      </c>
      <c r="B29" s="2" t="s">
        <v>152</v>
      </c>
      <c r="C29" s="2" t="s">
        <v>153</v>
      </c>
      <c r="D29" s="2" t="s">
        <v>154</v>
      </c>
      <c r="E29" s="2" t="s">
        <v>155</v>
      </c>
      <c r="F29" s="2" t="s">
        <v>156</v>
      </c>
      <c r="G29" s="2" t="s">
        <v>157</v>
      </c>
      <c r="H29" s="3" t="n">
        <v>360</v>
      </c>
      <c r="I29" s="4" t="s">
        <v>19</v>
      </c>
      <c r="J29" s="5" t="n">
        <v>0.6389</v>
      </c>
      <c r="K29" s="5" t="n">
        <v>0.85</v>
      </c>
      <c r="L29" s="6" t="n">
        <v>5920764</v>
      </c>
      <c r="M29" s="6" t="n">
        <v>2727792</v>
      </c>
    </row>
    <row r="30" customFormat="false" ht="15" hidden="false" customHeight="false" outlineLevel="0" collapsed="false">
      <c r="A30" s="2" t="n">
        <v>29</v>
      </c>
      <c r="B30" s="2" t="s">
        <v>158</v>
      </c>
      <c r="C30" s="2" t="s">
        <v>153</v>
      </c>
      <c r="D30" s="2" t="s">
        <v>159</v>
      </c>
      <c r="E30" s="2" t="s">
        <v>160</v>
      </c>
      <c r="F30" s="2" t="s">
        <v>161</v>
      </c>
      <c r="G30" s="2" t="s">
        <v>162</v>
      </c>
      <c r="H30" s="3" t="n">
        <v>212</v>
      </c>
      <c r="I30" s="4" t="s">
        <v>19</v>
      </c>
      <c r="J30" s="5" t="n">
        <v>0.9528</v>
      </c>
      <c r="K30" s="5" t="n">
        <v>0.9528</v>
      </c>
      <c r="L30" s="6" t="n">
        <v>5247208</v>
      </c>
      <c r="M30" s="6" t="n">
        <v>2935407</v>
      </c>
    </row>
    <row r="31" customFormat="false" ht="15" hidden="false" customHeight="false" outlineLevel="0" collapsed="false">
      <c r="A31" s="2" t="n">
        <v>30</v>
      </c>
      <c r="B31" s="2" t="s">
        <v>163</v>
      </c>
      <c r="C31" s="2" t="s">
        <v>153</v>
      </c>
      <c r="D31" s="2" t="s">
        <v>164</v>
      </c>
      <c r="E31" s="2" t="s">
        <v>165</v>
      </c>
      <c r="F31" s="2" t="s">
        <v>166</v>
      </c>
      <c r="G31" s="2" t="s">
        <v>167</v>
      </c>
      <c r="H31" s="3" t="n">
        <v>276</v>
      </c>
      <c r="I31" s="4" t="s">
        <v>19</v>
      </c>
      <c r="J31" s="5" t="n">
        <v>0.8587</v>
      </c>
      <c r="K31" s="5" t="n">
        <v>0.9457</v>
      </c>
      <c r="L31" s="6" t="n">
        <v>6100779</v>
      </c>
      <c r="M31" s="6" t="n">
        <v>3192534</v>
      </c>
    </row>
    <row r="32" customFormat="false" ht="15" hidden="false" customHeight="false" outlineLevel="0" collapsed="false">
      <c r="A32" s="2" t="n">
        <v>31</v>
      </c>
      <c r="B32" s="2" t="s">
        <v>168</v>
      </c>
      <c r="C32" s="2" t="s">
        <v>169</v>
      </c>
      <c r="D32" s="2" t="s">
        <v>170</v>
      </c>
      <c r="E32" s="2" t="s">
        <v>171</v>
      </c>
      <c r="F32" s="2" t="s">
        <v>172</v>
      </c>
      <c r="G32" s="2" t="s">
        <v>173</v>
      </c>
      <c r="H32" s="3" t="n">
        <v>264</v>
      </c>
      <c r="I32" s="4" t="s">
        <v>19</v>
      </c>
      <c r="J32" s="5" t="n">
        <v>0.8598</v>
      </c>
      <c r="K32" s="5" t="n">
        <v>0.9318</v>
      </c>
      <c r="L32" s="6" t="n">
        <v>5511678</v>
      </c>
      <c r="M32" s="6" t="n">
        <v>3177353</v>
      </c>
    </row>
    <row r="33" customFormat="false" ht="15" hidden="false" customHeight="false" outlineLevel="0" collapsed="false">
      <c r="A33" s="2" t="n">
        <v>32</v>
      </c>
      <c r="B33" s="2" t="s">
        <v>174</v>
      </c>
      <c r="C33" s="2" t="s">
        <v>175</v>
      </c>
      <c r="D33" s="2" t="s">
        <v>176</v>
      </c>
      <c r="E33" s="2" t="s">
        <v>177</v>
      </c>
      <c r="F33" s="2" t="s">
        <v>178</v>
      </c>
      <c r="G33" s="2" t="s">
        <v>179</v>
      </c>
      <c r="H33" s="3" t="n">
        <v>344</v>
      </c>
      <c r="I33" s="4" t="s">
        <v>19</v>
      </c>
      <c r="J33" s="5" t="n">
        <v>0.9506</v>
      </c>
      <c r="K33" s="5" t="n">
        <v>0.9331</v>
      </c>
      <c r="L33" s="6" t="n">
        <v>9371085</v>
      </c>
      <c r="M33" s="6" t="n">
        <v>4739605</v>
      </c>
    </row>
    <row r="34" customFormat="false" ht="15" hidden="false" customHeight="false" outlineLevel="0" collapsed="false">
      <c r="A34" s="2" t="n">
        <v>33</v>
      </c>
      <c r="B34" s="2" t="s">
        <v>180</v>
      </c>
      <c r="C34" s="2" t="s">
        <v>181</v>
      </c>
      <c r="D34" s="2" t="s">
        <v>182</v>
      </c>
      <c r="E34" s="2" t="s">
        <v>183</v>
      </c>
      <c r="F34" s="2" t="s">
        <v>184</v>
      </c>
      <c r="G34" s="2" t="s">
        <v>185</v>
      </c>
      <c r="H34" s="3" t="n">
        <v>91</v>
      </c>
      <c r="I34" s="4" t="s">
        <v>19</v>
      </c>
      <c r="J34" s="5" t="n">
        <v>0.95</v>
      </c>
      <c r="K34" s="5" t="n">
        <v>0.956</v>
      </c>
      <c r="L34" s="6" t="n">
        <v>3654361</v>
      </c>
      <c r="M34" s="6" t="n">
        <v>2224334</v>
      </c>
    </row>
    <row r="35" customFormat="false" ht="15" hidden="false" customHeight="false" outlineLevel="0" collapsed="false">
      <c r="A35" s="2" t="n">
        <v>34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190</v>
      </c>
      <c r="G35" s="2" t="s">
        <v>191</v>
      </c>
      <c r="H35" s="3" t="n">
        <v>300</v>
      </c>
      <c r="I35" s="4" t="s">
        <v>19</v>
      </c>
      <c r="J35" s="5" t="n">
        <v>0.94</v>
      </c>
      <c r="K35" s="5" t="n">
        <v>0.93</v>
      </c>
      <c r="L35" s="6" t="n">
        <v>5809639</v>
      </c>
      <c r="M35" s="6" t="n">
        <v>3526597</v>
      </c>
    </row>
    <row r="36" customFormat="false" ht="15" hidden="false" customHeight="false" outlineLevel="0" collapsed="false">
      <c r="A36" s="2" t="n">
        <v>35</v>
      </c>
      <c r="B36" s="2" t="s">
        <v>192</v>
      </c>
      <c r="C36" s="2" t="s">
        <v>14</v>
      </c>
      <c r="D36" s="2" t="s">
        <v>15</v>
      </c>
      <c r="E36" s="2" t="s">
        <v>193</v>
      </c>
      <c r="F36" s="2" t="s">
        <v>194</v>
      </c>
      <c r="G36" s="2" t="s">
        <v>195</v>
      </c>
      <c r="H36" s="3" t="n">
        <v>324</v>
      </c>
      <c r="I36" s="4" t="s">
        <v>196</v>
      </c>
      <c r="J36" s="5" t="n">
        <v>0</v>
      </c>
      <c r="K36" s="5" t="n">
        <v>0.2438</v>
      </c>
      <c r="L36" s="6" t="n">
        <v>47144</v>
      </c>
      <c r="M36" s="6" t="n">
        <v>-220413</v>
      </c>
    </row>
    <row r="37" customFormat="false" ht="15" hidden="false" customHeight="false" outlineLevel="0" collapsed="false">
      <c r="A37" s="2" t="n">
        <v>36</v>
      </c>
      <c r="B37" s="2" t="s">
        <v>197</v>
      </c>
      <c r="C37" s="2" t="s">
        <v>21</v>
      </c>
      <c r="D37" s="2" t="s">
        <v>198</v>
      </c>
      <c r="E37" s="2" t="s">
        <v>199</v>
      </c>
      <c r="F37" s="2" t="s">
        <v>200</v>
      </c>
      <c r="G37" s="2" t="s">
        <v>201</v>
      </c>
      <c r="H37" s="3" t="n">
        <v>300</v>
      </c>
      <c r="I37" s="4" t="s">
        <v>196</v>
      </c>
      <c r="J37" s="5" t="n">
        <v>0.0733</v>
      </c>
      <c r="K37" s="5" t="n">
        <v>0.6667</v>
      </c>
      <c r="L37" s="6" t="n">
        <v>2255044</v>
      </c>
      <c r="M37" s="6" t="n">
        <v>152599</v>
      </c>
    </row>
    <row r="38" customFormat="false" ht="15" hidden="false" customHeight="false" outlineLevel="0" collapsed="false">
      <c r="A38" s="2" t="n">
        <v>37</v>
      </c>
      <c r="B38" s="2" t="s">
        <v>202</v>
      </c>
      <c r="C38" s="2" t="s">
        <v>37</v>
      </c>
      <c r="D38" s="2" t="s">
        <v>38</v>
      </c>
      <c r="E38" s="2" t="s">
        <v>203</v>
      </c>
      <c r="F38" s="2" t="s">
        <v>204</v>
      </c>
      <c r="G38" s="2" t="s">
        <v>205</v>
      </c>
      <c r="H38" s="3" t="n">
        <v>336</v>
      </c>
      <c r="I38" s="4" t="s">
        <v>196</v>
      </c>
      <c r="J38" s="5" t="n">
        <v>0.0238</v>
      </c>
      <c r="K38" s="5" t="n">
        <v>0.4725</v>
      </c>
      <c r="L38" s="6" t="n">
        <v>1471588</v>
      </c>
      <c r="M38" s="6" t="n">
        <v>1190312</v>
      </c>
    </row>
    <row r="39" customFormat="false" ht="15" hidden="false" customHeight="false" outlineLevel="0" collapsed="false">
      <c r="A39" s="2" t="n">
        <v>38</v>
      </c>
      <c r="B39" s="2" t="s">
        <v>206</v>
      </c>
      <c r="C39" s="2" t="s">
        <v>37</v>
      </c>
      <c r="D39" s="2" t="s">
        <v>62</v>
      </c>
      <c r="E39" s="2" t="s">
        <v>207</v>
      </c>
      <c r="F39" s="2" t="s">
        <v>208</v>
      </c>
      <c r="G39" s="2" t="s">
        <v>209</v>
      </c>
      <c r="H39" s="3" t="n">
        <v>324</v>
      </c>
      <c r="I39" s="4" t="s">
        <v>196</v>
      </c>
      <c r="J39" s="5" t="n">
        <v>0.4012</v>
      </c>
      <c r="K39" s="5" t="n">
        <v>0.8395</v>
      </c>
      <c r="L39" s="6" t="n">
        <v>4107207</v>
      </c>
      <c r="M39" s="6" t="n">
        <v>1835421</v>
      </c>
    </row>
    <row r="40" customFormat="false" ht="15" hidden="false" customHeight="false" outlineLevel="0" collapsed="false">
      <c r="A40" s="2" t="n">
        <v>39</v>
      </c>
      <c r="B40" s="2" t="s">
        <v>210</v>
      </c>
      <c r="C40" s="2" t="s">
        <v>37</v>
      </c>
      <c r="D40" s="2" t="s">
        <v>67</v>
      </c>
      <c r="E40" s="2" t="s">
        <v>211</v>
      </c>
      <c r="F40" s="2" t="s">
        <v>212</v>
      </c>
      <c r="G40" s="2" t="s">
        <v>213</v>
      </c>
      <c r="H40" s="3" t="n">
        <v>300</v>
      </c>
      <c r="I40" s="4" t="s">
        <v>196</v>
      </c>
      <c r="J40" s="5" t="n">
        <v>0.0267</v>
      </c>
      <c r="K40" s="5" t="n">
        <v>0.5325</v>
      </c>
      <c r="L40" s="6" t="n">
        <v>1322278</v>
      </c>
      <c r="M40" s="6" t="n">
        <v>1029818</v>
      </c>
    </row>
    <row r="41" customFormat="false" ht="15" hidden="false" customHeight="false" outlineLevel="0" collapsed="false">
      <c r="A41" s="2" t="n">
        <v>40</v>
      </c>
      <c r="B41" s="2" t="s">
        <v>214</v>
      </c>
      <c r="C41" s="2" t="s">
        <v>37</v>
      </c>
      <c r="D41" s="2" t="s">
        <v>215</v>
      </c>
      <c r="E41" s="2" t="s">
        <v>216</v>
      </c>
      <c r="F41" s="2" t="s">
        <v>217</v>
      </c>
      <c r="G41" s="2" t="s">
        <v>218</v>
      </c>
      <c r="H41" s="3" t="n">
        <v>255</v>
      </c>
      <c r="I41" s="4" t="s">
        <v>196</v>
      </c>
      <c r="J41" s="5" t="n">
        <v>0.1608</v>
      </c>
      <c r="K41" s="5" t="n">
        <v>0.7686</v>
      </c>
      <c r="L41" s="6" t="n">
        <v>2689627</v>
      </c>
      <c r="M41" s="6" t="n">
        <v>662984</v>
      </c>
    </row>
    <row r="42" customFormat="false" ht="15" hidden="false" customHeight="false" outlineLevel="0" collapsed="false">
      <c r="A42" s="2" t="n">
        <v>41</v>
      </c>
      <c r="B42" s="2" t="s">
        <v>219</v>
      </c>
      <c r="C42" s="2" t="s">
        <v>153</v>
      </c>
      <c r="D42" s="2" t="s">
        <v>220</v>
      </c>
      <c r="E42" s="2" t="s">
        <v>221</v>
      </c>
      <c r="F42" s="2" t="s">
        <v>222</v>
      </c>
      <c r="G42" s="2" t="s">
        <v>223</v>
      </c>
      <c r="H42" s="3" t="n">
        <v>300</v>
      </c>
      <c r="I42" s="4" t="s">
        <v>196</v>
      </c>
      <c r="J42" s="5" t="n">
        <v>0</v>
      </c>
      <c r="K42" s="5" t="n">
        <v>0.4533</v>
      </c>
      <c r="L42" s="6" t="n">
        <v>31100</v>
      </c>
      <c r="M42" s="6" t="n">
        <v>-249899</v>
      </c>
    </row>
    <row r="43" customFormat="false" ht="15" hidden="false" customHeight="false" outlineLevel="0" collapsed="false">
      <c r="A43" s="2" t="n">
        <v>42</v>
      </c>
      <c r="B43" s="2" t="s">
        <v>224</v>
      </c>
      <c r="C43" s="2" t="s">
        <v>153</v>
      </c>
      <c r="D43" s="2" t="s">
        <v>225</v>
      </c>
      <c r="E43" s="2" t="s">
        <v>226</v>
      </c>
      <c r="F43" s="2" t="s">
        <v>227</v>
      </c>
      <c r="G43" s="2" t="s">
        <v>228</v>
      </c>
      <c r="H43" s="3" t="n">
        <v>300</v>
      </c>
      <c r="I43" s="4" t="s">
        <v>196</v>
      </c>
      <c r="J43" s="5" t="n">
        <v>0</v>
      </c>
      <c r="K43" s="5" t="n">
        <v>0.4067</v>
      </c>
      <c r="L43" s="6" t="n">
        <v>1088088</v>
      </c>
      <c r="M43" s="6" t="n">
        <v>815610</v>
      </c>
    </row>
    <row r="44" customFormat="false" ht="15" hidden="false" customHeight="false" outlineLevel="0" collapsed="false">
      <c r="A44" s="2" t="n">
        <v>43</v>
      </c>
      <c r="B44" s="2" t="s">
        <v>229</v>
      </c>
      <c r="C44" s="2" t="s">
        <v>153</v>
      </c>
      <c r="D44" s="2" t="s">
        <v>230</v>
      </c>
      <c r="E44" s="2" t="s">
        <v>231</v>
      </c>
      <c r="F44" s="2" t="s">
        <v>232</v>
      </c>
      <c r="G44" s="2" t="s">
        <v>233</v>
      </c>
      <c r="H44" s="3" t="n">
        <v>214</v>
      </c>
      <c r="I44" s="4" t="s">
        <v>196</v>
      </c>
      <c r="J44" s="5" t="n">
        <v>0</v>
      </c>
      <c r="K44" s="5" t="n">
        <v>0.6916</v>
      </c>
      <c r="L44" s="6" t="n">
        <v>-385889</v>
      </c>
      <c r="M44" s="6" t="n">
        <v>-638157</v>
      </c>
    </row>
    <row r="45" customFormat="false" ht="15" hidden="false" customHeight="false" outlineLevel="0" collapsed="false">
      <c r="A45" s="2" t="n">
        <v>44</v>
      </c>
      <c r="B45" s="2" t="s">
        <v>234</v>
      </c>
      <c r="C45" s="2" t="s">
        <v>235</v>
      </c>
      <c r="D45" s="2" t="s">
        <v>236</v>
      </c>
      <c r="E45" s="2" t="s">
        <v>237</v>
      </c>
      <c r="F45" s="2" t="s">
        <v>238</v>
      </c>
      <c r="G45" s="2" t="s">
        <v>239</v>
      </c>
      <c r="H45" s="3" t="n">
        <v>251</v>
      </c>
      <c r="I45" s="4" t="s">
        <v>196</v>
      </c>
      <c r="J45" s="5" t="n">
        <v>0.1912</v>
      </c>
      <c r="K45" s="5" t="n">
        <v>0.8008</v>
      </c>
      <c r="L45" s="6" t="n">
        <v>2902183</v>
      </c>
      <c r="M45" s="6" t="n">
        <v>1077708</v>
      </c>
    </row>
    <row r="46" customFormat="false" ht="15" hidden="false" customHeight="false" outlineLevel="0" collapsed="false">
      <c r="A46" s="2" t="n">
        <v>45</v>
      </c>
      <c r="B46" s="2" t="s">
        <v>240</v>
      </c>
      <c r="C46" s="2" t="s">
        <v>235</v>
      </c>
      <c r="D46" s="2" t="s">
        <v>241</v>
      </c>
      <c r="E46" s="2" t="s">
        <v>242</v>
      </c>
      <c r="F46" s="2" t="s">
        <v>243</v>
      </c>
      <c r="G46" s="2" t="s">
        <v>244</v>
      </c>
      <c r="H46" s="3" t="n">
        <v>350</v>
      </c>
      <c r="I46" s="4" t="s">
        <v>196</v>
      </c>
      <c r="J46" s="5" t="n">
        <v>0</v>
      </c>
      <c r="K46" s="5" t="n">
        <v>0.435</v>
      </c>
      <c r="L46" s="6" t="n">
        <v>1053594</v>
      </c>
      <c r="M46" s="6" t="n">
        <v>777099</v>
      </c>
    </row>
    <row r="47" customFormat="false" ht="15" hidden="false" customHeight="false" outlineLevel="0" collapsed="false">
      <c r="A47" s="2" t="n">
        <v>46</v>
      </c>
      <c r="B47" s="2" t="s">
        <v>245</v>
      </c>
      <c r="C47" s="2" t="s">
        <v>246</v>
      </c>
      <c r="D47" s="2" t="s">
        <v>247</v>
      </c>
      <c r="E47" s="2" t="s">
        <v>248</v>
      </c>
      <c r="F47" s="2" t="s">
        <v>249</v>
      </c>
      <c r="G47" s="2" t="s">
        <v>250</v>
      </c>
      <c r="H47" s="3" t="n">
        <v>303</v>
      </c>
      <c r="I47" s="4" t="s">
        <v>196</v>
      </c>
      <c r="J47" s="5" t="n">
        <v>0</v>
      </c>
      <c r="K47" s="5" t="n">
        <v>0.4422</v>
      </c>
      <c r="L47" s="6" t="n">
        <v>29237</v>
      </c>
      <c r="M47" s="6" t="n">
        <v>-238746</v>
      </c>
    </row>
    <row r="48" customFormat="false" ht="15" hidden="false" customHeight="false" outlineLevel="0" collapsed="false">
      <c r="A48" s="7"/>
      <c r="B48" s="7" t="s">
        <v>251</v>
      </c>
      <c r="C48" s="7"/>
      <c r="D48" s="7"/>
      <c r="E48" s="7"/>
      <c r="F48" s="7"/>
      <c r="G48" s="7"/>
      <c r="H48" s="8" t="n">
        <f aca="false">SUM(H2:H47)</f>
        <v>13371</v>
      </c>
      <c r="I48" s="9"/>
      <c r="J48" s="10"/>
      <c r="K48" s="10"/>
      <c r="L48" s="11" t="n">
        <f aca="false">SUM(L2:L47)</f>
        <v>234558059</v>
      </c>
      <c r="M48" s="11" t="n">
        <f aca="false">SUM(M2:M47)</f>
        <v>128148148</v>
      </c>
    </row>
    <row r="50" customFormat="false" ht="15" hidden="false" customHeight="false" outlineLevel="0" collapsed="false">
      <c r="A50" s="12" t="s">
        <v>252</v>
      </c>
    </row>
  </sheetData>
  <autoFilter ref="A1:M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2026-10-06T18:25:22Z</dcterms:created>
  <dc:creator>openpyxl</dc:creator>
  <dc:description/>
  <dc:language>en-US</dc:language>
  <cp:lastModifiedBy/>
  <dcterms:modified xsi:type="dcterms:W3CDTF">2026-10-06T18:25:22Z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